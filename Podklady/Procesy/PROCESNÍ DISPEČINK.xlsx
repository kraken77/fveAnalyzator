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řehled" sheetId="1" r:id="rId4"/>
    <sheet state="visible" name="reklamace" sheetId="2" r:id="rId5"/>
  </sheets>
  <definedNames>
    <definedName hidden="1" localSheetId="0" name="_xlnm._FilterDatabase">'Přehled'!$A$5:$BY$21</definedName>
  </definedNames>
  <calcPr/>
  <extLst>
    <ext uri="GoogleSheetsCustomDataVersion2">
      <go:sheetsCustomData xmlns:go="http://customooxmlschemas.google.com/" r:id="rId6" roundtripDataChecksum="z46s1SYcBkz277+PF/ATv2XyoRh/nx6uJ5XGQKjqvs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Míra
======</t>
      </text>
    </comment>
    <comment authorId="0" ref="I5">
      <text>
        <t xml:space="preserve">Míra dle prvního formuláře
======</t>
      </text>
    </comment>
    <comment authorId="0" ref="J5">
      <text>
        <t xml:space="preserve">======
ID#AAACGTbiF9Q
Tom    (2026-09-03 08:20:30)
po odsouhlasení prvotní nabídky ihned nebo ož se zákazník rozhodne pokračujeme dále</t>
      </text>
    </comment>
    <comment authorId="0" ref="BR30">
      <text>
        <t xml:space="preserve">Vyúčtovat s Radkem
======</t>
      </text>
    </comment>
    <comment authorId="0" ref="AS4">
      <text>
        <t xml:space="preserve">======
ID#AAACGTbiF9E
Tom    (2026-09-03 08:20:30)
každý den 1 min</t>
      </text>
    </comment>
    <comment authorId="0" ref="X13">
      <text>
        <t xml:space="preserve">Zadáno 15.9.2026
======</t>
      </text>
    </comment>
    <comment authorId="0" ref="Q5">
      <text>
        <t xml:space="preserve">obchodník dle prvotního formuláře
======</t>
      </text>
    </comment>
    <comment authorId="0" ref="AW37">
      <text>
        <t xml:space="preserve">- střídač skladem
- panely objednat
======</t>
      </text>
    </comment>
    <comment authorId="0" ref="W5">
      <text>
        <t xml:space="preserve">obchodník
======</t>
      </text>
    </comment>
    <comment authorId="0" ref="AO23">
      <text>
        <t xml:space="preserve">150 000
======</t>
      </text>
    </comment>
    <comment authorId="0" ref="X5">
      <text>
        <t xml:space="preserve">Marek navrhne orientaci na střeše
======</t>
      </text>
    </comment>
    <comment authorId="0" ref="AP23">
      <text>
        <t xml:space="preserve">slíbil 4.9.26
======</t>
      </text>
    </comment>
    <comment authorId="0" ref="BP16">
      <text>
        <t xml:space="preserve">kejzlar si to prověří a ozve se do 17.9.26
======</t>
      </text>
    </comment>
    <comment authorId="0" ref="Z5">
      <text>
        <t xml:space="preserve">Míra
======</t>
      </text>
    </comment>
    <comment authorId="0" ref="BK10">
      <text>
        <t xml:space="preserve">Pavel zjistit: UTP zda je již vše hotové a případně co chybí, aby bylo zajištěno. 
======</t>
      </text>
    </comment>
    <comment authorId="0" ref="AE5">
      <text>
        <t xml:space="preserve">Míra
======</t>
      </text>
    </comment>
    <comment authorId="0" ref="BB23">
      <text>
        <t xml:space="preserve">Musí Matura zaplatit zálohu -&gt; technická příprava podlahy a návaznost na jeho elektrikáře. 
======</t>
      </text>
    </comment>
    <comment authorId="0" ref="AE32">
      <text>
        <t xml:space="preserve">PD slíbil Tomovi p.Skriba poslat začátkem září
======</t>
      </text>
    </comment>
    <comment authorId="0" ref="AJ5">
      <text>
        <t xml:space="preserve">======
ID#AAACGTbiF9I
Tom    (2026-09-03 08:20:30)
zásadní bod:
1. buďto vše končí a fakturujeme technickou přípravu projektu
2. nebo pokračujeme dalšími paralelními kroky</t>
      </text>
    </comment>
    <comment authorId="0" ref="BL29">
      <text>
        <t xml:space="preserve">čekáme na ně
======</t>
      </text>
    </comment>
    <comment authorId="0" ref="AZ13">
      <text>
        <t xml:space="preserve">Testování konstrukce NOVOTEGRA + přípomoc technici Novotegra
======</t>
      </text>
    </comment>
    <comment authorId="0" ref="BA13">
      <text>
        <t xml:space="preserve">Montáž elektro - zákazník svépomoc s trasou kabeláže.
======</t>
      </text>
    </comment>
    <comment authorId="0" ref="BR29">
      <text>
        <t xml:space="preserve">Vyúčtovat FAKTURU s Radkem
======</t>
      </text>
    </comment>
    <comment authorId="0" ref="BA11">
      <text>
        <t xml:space="preserve">až tam bude bydlet tak wifi dongle doplnit, přihlásit do internetu
======</t>
      </text>
    </comment>
    <comment authorId="0" ref="V8">
      <text>
        <t xml:space="preserve">======
ID#AAACGTbiF88
Tom    (2026-09-03 08:20:30)
navrhuji nejpozději do týdne prověřit splnění
nejde mi podmíněné formátování :
=DNES()&gt;A2+7</t>
      </text>
    </comment>
    <comment authorId="0" ref="BK5">
      <text>
        <t xml:space="preserve">Dělá si zákazník sám, ale až po obdržení informace, že má zařízeno a kolik nastavíme povolujeme přetoky (Pavel) 
======</t>
      </text>
    </comment>
    <comment authorId="0" ref="AD4">
      <text>
        <t xml:space="preserve">======
ID#AAACGTbiF9A
Tom    (2026-09-03 08:20:30)
cesta tam 60 min
prohlídka 60 min
cesta zpět 60 min</t>
      </text>
    </comment>
    <comment authorId="0" ref="BL5">
      <text>
        <t xml:space="preserve">Zákazník dostane informaci od obchodníka (Čez, Centropol atd.) - Prokazatelně nám to řeknou.
======</t>
      </text>
    </comment>
    <comment authorId="0" ref="AE4">
      <text>
        <t xml:space="preserve">======
ID#AAACGTbiF9M
Tom    (2026-09-03 08:20:30)
púři prohlídce RD</t>
      </text>
    </comment>
    <comment authorId="0" ref="BM5">
      <text>
        <t xml:space="preserve">Nastavujeme na dálku (Pavel)
======</t>
      </text>
    </comment>
  </commentList>
  <extLst>
    <ext uri="GoogleSheetsCustomDataVersion2">
      <go:sheetsCustomData xmlns:go="http://customooxmlschemas.google.com/" r:id="rId1" roundtripDataSignature="AMtx7mhFZCu0h7QiXbO4kcDVpKtjC+yJqQ=="/>
    </ext>
  </extLst>
</comments>
</file>

<file path=xl/sharedStrings.xml><?xml version="1.0" encoding="utf-8"?>
<sst xmlns="http://schemas.openxmlformats.org/spreadsheetml/2006/main" count="205" uniqueCount="146">
  <si>
    <t>toto je zpoplatněný proces který zákazníkovi odečteme pokud si nás vybere k realizaci 2500,-</t>
  </si>
  <si>
    <t>celkový čas administrace bez montáží</t>
  </si>
  <si>
    <t>AI</t>
  </si>
  <si>
    <t>Svoboda EX</t>
  </si>
  <si>
    <t>Pavel</t>
  </si>
  <si>
    <t>Míra</t>
  </si>
  <si>
    <t>Konig EX</t>
  </si>
  <si>
    <t>min</t>
  </si>
  <si>
    <t>hod</t>
  </si>
  <si>
    <t>odměna/hod</t>
  </si>
  <si>
    <t>náklad</t>
  </si>
  <si>
    <t>marže</t>
  </si>
  <si>
    <t>prodej</t>
  </si>
  <si>
    <t>zadáno</t>
  </si>
  <si>
    <t>hotovo</t>
  </si>
  <si>
    <t>čas (min)</t>
  </si>
  <si>
    <t>Příjmení</t>
  </si>
  <si>
    <t>jméno</t>
  </si>
  <si>
    <t>aktivní neaktivní</t>
  </si>
  <si>
    <t>Zaevidování poptávky - LEAD, OP</t>
  </si>
  <si>
    <t>První telefonát (do 24h)</t>
  </si>
  <si>
    <t>první indikativní nabídka dle telefonátu - tel/email</t>
  </si>
  <si>
    <r>
      <rPr>
        <rFont val="Calibri"/>
        <color theme="1"/>
        <sz val="11.0"/>
      </rPr>
      <t xml:space="preserve">odsouhlasení předběžné nabídky - </t>
    </r>
    <r>
      <rPr>
        <rFont val="Calibri"/>
        <color rgb="FFFF0000"/>
        <sz val="11.0"/>
      </rPr>
      <t>pokračujeme</t>
    </r>
  </si>
  <si>
    <t>Ověření vlastnictví</t>
  </si>
  <si>
    <t>Zjištění roční spotřeby</t>
  </si>
  <si>
    <t xml:space="preserve">Prověření stop-stavů (Památkáři, chko, </t>
  </si>
  <si>
    <t>Prověření stop-stavů (Střecha)</t>
  </si>
  <si>
    <t>Prověření stop-stavů (Azbest)</t>
  </si>
  <si>
    <t>Sběr podkladů od zákazníka</t>
  </si>
  <si>
    <t>Technické posouzení na dálku</t>
  </si>
  <si>
    <t>Návrh velikosti FVE</t>
  </si>
  <si>
    <t>Návrh kapacity baterie</t>
  </si>
  <si>
    <t>Výpočet dotační úspory</t>
  </si>
  <si>
    <t>Možnost bezúročné půjčky</t>
  </si>
  <si>
    <t>Vytvoření podrobnější nabídky</t>
  </si>
  <si>
    <t>Příprava vizualizace</t>
  </si>
  <si>
    <t>Odeslání nabídky</t>
  </si>
  <si>
    <t>První follow-up (po 3 dnech)</t>
  </si>
  <si>
    <t>Konzultace návratnosti</t>
  </si>
  <si>
    <t>Konzultace značek komponentů</t>
  </si>
  <si>
    <t>Plánování osobní prohlídky</t>
  </si>
  <si>
    <t>Osobní schůzka na místě</t>
  </si>
  <si>
    <t>Kontrola statiky střechy</t>
  </si>
  <si>
    <t>Trasování kabeláže</t>
  </si>
  <si>
    <t>Kontrola jističů a rozvaděče</t>
  </si>
  <si>
    <t>Prověření teploty pro technologii</t>
  </si>
  <si>
    <t>Revize a úprava nabídky</t>
  </si>
  <si>
    <t>Finální schválení rozpočtu</t>
  </si>
  <si>
    <t>Podpis Smlouvy o dílo (SoD)</t>
  </si>
  <si>
    <t>Podpis plná moc pro Distributora (ČEZ,PRE)</t>
  </si>
  <si>
    <t>Vystavení zálohové faktury</t>
  </si>
  <si>
    <t>Kontrola připsání zálohy</t>
  </si>
  <si>
    <t xml:space="preserve">Žádost o připojení (Smlouva) SOP </t>
  </si>
  <si>
    <t>Sledování schválení rezervovaného výkonu</t>
  </si>
  <si>
    <t>Podání registrace do NZÚ</t>
  </si>
  <si>
    <t>Administrace bezúročné půjčky</t>
  </si>
  <si>
    <t>Příprava projektu</t>
  </si>
  <si>
    <t>Skladová kontrola materiálu</t>
  </si>
  <si>
    <t>Objednání u dodavatelů</t>
  </si>
  <si>
    <t>Plánování termínu montáže střecha</t>
  </si>
  <si>
    <t>Stavební a střešní montáž</t>
  </si>
  <si>
    <t>Elektro-montáž komponentů</t>
  </si>
  <si>
    <t>Propojení a ostrovní test</t>
  </si>
  <si>
    <t>Předání a zaškolení</t>
  </si>
  <si>
    <t>Instalace monitorovací aplikace</t>
  </si>
  <si>
    <t>Měření a revize systému</t>
  </si>
  <si>
    <t>Zaslání podkladů pro revizní zprávu</t>
  </si>
  <si>
    <t>Vystavení Výchozí revizní zprávy (Revize FVE)</t>
  </si>
  <si>
    <t>Žádost o umožnění ÚTP</t>
  </si>
  <si>
    <t>Výměna elektroměru</t>
  </si>
  <si>
    <t>Získání odběratele na přetoky (převzetí odpovědnosti za odchylku).</t>
  </si>
  <si>
    <t>Kontrola smlouvy na přetoky</t>
  </si>
  <si>
    <t>Povolení přetoků na střídači</t>
  </si>
  <si>
    <t>Nastavení sdílení v komunitě</t>
  </si>
  <si>
    <t>Vystavení konečné faktury</t>
  </si>
  <si>
    <t>Doložení realizace na SFŽP</t>
  </si>
  <si>
    <t>zasláno</t>
  </si>
  <si>
    <t>podepsáno</t>
  </si>
  <si>
    <t>vyřízeno</t>
  </si>
  <si>
    <t>vzor</t>
  </si>
  <si>
    <t>vopršálek</t>
  </si>
  <si>
    <t>RD</t>
  </si>
  <si>
    <t>DEYE</t>
  </si>
  <si>
    <t>Havlík</t>
  </si>
  <si>
    <t>Milan</t>
  </si>
  <si>
    <t>1.8.26</t>
  </si>
  <si>
    <t>2.8.26</t>
  </si>
  <si>
    <t>a</t>
  </si>
  <si>
    <t>26.7.2026</t>
  </si>
  <si>
    <t>solax 10</t>
  </si>
  <si>
    <t>Kvízová</t>
  </si>
  <si>
    <t>10-15.9.2026</t>
  </si>
  <si>
    <t>GW 10+10</t>
  </si>
  <si>
    <t>Brada</t>
  </si>
  <si>
    <t>A</t>
  </si>
  <si>
    <t>Chaloupka</t>
  </si>
  <si>
    <t>N</t>
  </si>
  <si>
    <t>KLARA</t>
  </si>
  <si>
    <t>Křička</t>
  </si>
  <si>
    <t>nepožaduje</t>
  </si>
  <si>
    <t>bezpečnostní prvky</t>
  </si>
  <si>
    <t>Novotegra</t>
  </si>
  <si>
    <t xml:space="preserve">Marek </t>
  </si>
  <si>
    <t>Schváleno</t>
  </si>
  <si>
    <t>NE</t>
  </si>
  <si>
    <t>21.9.-22.9.</t>
  </si>
  <si>
    <t>Fronius/tigo/Victron</t>
  </si>
  <si>
    <t>Růzha</t>
  </si>
  <si>
    <t>*</t>
  </si>
  <si>
    <t>Štolfa</t>
  </si>
  <si>
    <t>Pracuje se</t>
  </si>
  <si>
    <t>Zasláno v tabulce</t>
  </si>
  <si>
    <t>Kejzlar</t>
  </si>
  <si>
    <t>klára</t>
  </si>
  <si>
    <t>gubiš</t>
  </si>
  <si>
    <t>Lajdorf</t>
  </si>
  <si>
    <t>Nedovoláno</t>
  </si>
  <si>
    <t>Krinert</t>
  </si>
  <si>
    <t xml:space="preserve">Zamítnuto </t>
  </si>
  <si>
    <t>bez nároku</t>
  </si>
  <si>
    <t>byt</t>
  </si>
  <si>
    <t>Matura Varšavská</t>
  </si>
  <si>
    <t>x</t>
  </si>
  <si>
    <t>Dělá Linhart</t>
  </si>
  <si>
    <t>firma</t>
  </si>
  <si>
    <t>bene pískovka</t>
  </si>
  <si>
    <t>zatím nedodali</t>
  </si>
  <si>
    <t>perfecta pískovka</t>
  </si>
  <si>
    <t>rekonstrukce</t>
  </si>
  <si>
    <t>Šujan</t>
  </si>
  <si>
    <t>50+50</t>
  </si>
  <si>
    <t>Lakoplast</t>
  </si>
  <si>
    <t>20+20</t>
  </si>
  <si>
    <t>pentagon</t>
  </si>
  <si>
    <t>Matura myčka</t>
  </si>
  <si>
    <t>09.09.2026 Vibar</t>
  </si>
  <si>
    <t>poslat vyhodnocení SHELLY</t>
  </si>
  <si>
    <t>bojler</t>
  </si>
  <si>
    <t>Šíma</t>
  </si>
  <si>
    <t>rozšíření</t>
  </si>
  <si>
    <t>Bat solax</t>
  </si>
  <si>
    <t>Fiala</t>
  </si>
  <si>
    <t>Bat. solax od Fialy</t>
  </si>
  <si>
    <t>WB</t>
  </si>
  <si>
    <t>Šerf</t>
  </si>
  <si>
    <t>ostatní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</si>
</sst>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\ [$Kč-405]"/>
    <numFmt numFmtId="165" formatCode="_(&quot;$&quot;* #,##0.0_);_(&quot;$&quot;* \(#,##0.0\);_(&quot;$&quot;* &quot;-&quot;?_);_(@_)"/>
    <numFmt numFmtId="166" formatCode="d.m.yy"/>
    <numFmt numFmtId="167" formatCode="dd.mm.yyyy"/>
    <numFmt numFmtId="168" formatCode="d.m."/>
    <numFmt numFmtId="169" formatCode="d.m.yyyy"/>
  </numFmts>
  <fonts count="5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sz val="11.0"/>
      <color theme="9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  <fill>
      <patternFill patternType="solid">
        <fgColor rgb="FF66CCFF"/>
        <bgColor rgb="FF66CCFF"/>
      </patternFill>
    </fill>
    <fill>
      <patternFill patternType="solid">
        <fgColor rgb="FFFFC000"/>
        <bgColor rgb="FFFFC00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CC4125"/>
        <bgColor rgb="FFCC4125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rgb="FFFFB9B7"/>
        <bgColor rgb="FFFFB9B7"/>
      </patternFill>
    </fill>
  </fills>
  <borders count="3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/>
    </border>
    <border>
      <left style="thin">
        <color rgb="FFD9D9D9"/>
      </left>
      <top style="thin">
        <color rgb="FFD9D9D9"/>
      </top>
      <bottom/>
    </border>
    <border>
      <right style="thin">
        <color rgb="FFD9D9D9"/>
      </right>
      <top style="thin">
        <color rgb="FFD9D9D9"/>
      </top>
      <bottom/>
    </border>
    <border>
      <left style="thin">
        <color rgb="FFD9D9D9"/>
      </left>
      <right/>
      <top style="thin">
        <color rgb="FFD9D9D9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D9D9D9"/>
      </left>
      <top style="thin">
        <color rgb="FFD9D9D9"/>
      </top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/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1" numFmtId="0" xfId="0" applyAlignment="1" applyFont="1">
      <alignment horizontal="center" shrinkToFit="0" wrapText="1"/>
    </xf>
    <xf borderId="0" fillId="3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4" fillId="0" fontId="1" numFmtId="0" xfId="0" applyAlignment="1" applyBorder="1" applyFont="1">
      <alignment shrinkToFit="0" wrapText="1"/>
    </xf>
    <xf borderId="0" fillId="0" fontId="3" numFmtId="4" xfId="0" applyFont="1" applyNumberFormat="1"/>
    <xf borderId="0" fillId="0" fontId="1" numFmtId="164" xfId="0" applyFont="1" applyNumberFormat="1"/>
    <xf borderId="0" fillId="0" fontId="1" numFmtId="165" xfId="0" applyFont="1" applyNumberFormat="1"/>
    <xf borderId="5" fillId="3" fontId="1" numFmtId="0" xfId="0" applyAlignment="1" applyBorder="1" applyFill="1" applyFont="1">
      <alignment horizontal="left" shrinkToFit="0" vertical="center" wrapText="1"/>
    </xf>
    <xf borderId="6" fillId="3" fontId="1" numFmtId="0" xfId="0" applyAlignment="1" applyBorder="1" applyFill="1" applyFont="1">
      <alignment horizontal="left" readingOrder="0" shrinkToFit="0" vertical="center" wrapText="1"/>
    </xf>
    <xf borderId="7" fillId="3" fontId="1" numFmtId="0" xfId="0" applyAlignment="1" applyBorder="1" applyFill="1" applyFont="1">
      <alignment horizontal="left" readingOrder="0" shrinkToFit="0" vertical="center" wrapText="1"/>
    </xf>
    <xf borderId="7" fillId="3" fontId="1" numFmtId="0" xfId="0" applyAlignment="1" applyBorder="1" applyFill="1" applyFont="1">
      <alignment horizontal="left" shrinkToFit="0" vertical="center" wrapText="1"/>
    </xf>
    <xf borderId="7" fillId="2" fontId="1" numFmtId="0" xfId="0" applyAlignment="1" applyBorder="1" applyFill="1" applyFont="1">
      <alignment horizontal="left" shrinkToFit="0" vertical="center" wrapText="1"/>
    </xf>
    <xf borderId="7" fillId="4" fontId="1" numFmtId="0" xfId="0" applyAlignment="1" applyBorder="1" applyFill="1" applyFont="1">
      <alignment horizontal="left" shrinkToFit="0" vertical="center" wrapText="1"/>
    </xf>
    <xf borderId="8" fillId="4" fontId="1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0" fillId="5" fontId="1" numFmtId="0" xfId="0" applyAlignment="1" applyBorder="1" applyFill="1" applyFont="1">
      <alignment horizontal="left" shrinkToFit="0" vertical="center" wrapText="1"/>
    </xf>
    <xf borderId="11" fillId="4" fontId="1" numFmtId="0" xfId="0" applyAlignment="1" applyBorder="1" applyFill="1" applyFont="1">
      <alignment horizontal="center" shrinkToFit="0" vertical="center" wrapText="1"/>
    </xf>
    <xf borderId="12" fillId="0" fontId="2" numFmtId="0" xfId="0" applyBorder="1" applyFont="1"/>
    <xf borderId="11" fillId="4" fontId="1" numFmtId="0" xfId="0" applyAlignment="1" applyBorder="1" applyFill="1" applyFont="1">
      <alignment horizontal="center" readingOrder="0" shrinkToFit="0" vertical="center" wrapText="1"/>
    </xf>
    <xf borderId="13" fillId="3" fontId="1" numFmtId="0" xfId="0" applyAlignment="1" applyBorder="1" applyFill="1" applyFont="1">
      <alignment horizontal="center" readingOrder="0" shrinkToFit="0" vertical="center" wrapText="1"/>
    </xf>
    <xf borderId="14" fillId="0" fontId="2" numFmtId="0" xfId="0" applyBorder="1" applyFont="1"/>
    <xf borderId="7" fillId="4" fontId="1" numFmtId="0" xfId="0" applyAlignment="1" applyBorder="1" applyFill="1" applyFont="1">
      <alignment horizontal="left" readingOrder="0" shrinkToFit="0" vertical="center" wrapText="1"/>
    </xf>
    <xf borderId="8" fillId="4" fontId="1" numFmtId="0" xfId="0" applyAlignment="1" applyBorder="1" applyFill="1" applyFont="1">
      <alignment horizontal="left" shrinkToFit="0" vertical="center" wrapText="1"/>
    </xf>
    <xf borderId="15" fillId="3" fontId="1" numFmtId="0" xfId="0" applyAlignment="1" applyBorder="1" applyFill="1" applyFont="1">
      <alignment horizontal="left" shrinkToFit="0" vertical="center" wrapText="1"/>
    </xf>
    <xf borderId="0" fillId="3" fontId="1" numFmtId="0" xfId="0" applyAlignment="1" applyFill="1" applyFont="1">
      <alignment horizontal="left" shrinkToFit="0" vertical="center" wrapText="1"/>
    </xf>
    <xf borderId="16" fillId="3" fontId="1" numFmtId="0" xfId="0" applyAlignment="1" applyBorder="1" applyFill="1" applyFont="1">
      <alignment horizontal="left" shrinkToFit="0" vertical="center" wrapText="1"/>
    </xf>
    <xf borderId="16" fillId="2" fontId="1" numFmtId="0" xfId="0" applyAlignment="1" applyBorder="1" applyFill="1" applyFont="1">
      <alignment horizontal="left" shrinkToFit="0" vertical="center" wrapText="1"/>
    </xf>
    <xf borderId="16" fillId="4" fontId="1" numFmtId="0" xfId="0" applyAlignment="1" applyBorder="1" applyFill="1" applyFont="1">
      <alignment horizontal="left" shrinkToFit="0" vertical="center" wrapText="1"/>
    </xf>
    <xf borderId="16" fillId="4" fontId="1" numFmtId="0" xfId="0" applyAlignment="1" applyBorder="1" applyFill="1" applyFont="1">
      <alignment horizontal="center" shrinkToFit="0" vertical="center" wrapText="1"/>
    </xf>
    <xf borderId="17" fillId="5" fontId="1" numFmtId="0" xfId="0" applyAlignment="1" applyBorder="1" applyFill="1" applyFont="1">
      <alignment horizontal="left" shrinkToFit="0" vertical="center" wrapText="1"/>
    </xf>
    <xf borderId="18" fillId="4" fontId="1" numFmtId="0" xfId="0" applyAlignment="1" applyBorder="1" applyFill="1" applyFont="1">
      <alignment horizontal="center" shrinkToFit="0" vertical="center" wrapText="1"/>
    </xf>
    <xf borderId="19" fillId="4" fontId="1" numFmtId="0" xfId="0" applyAlignment="1" applyBorder="1" applyFill="1" applyFont="1">
      <alignment horizontal="center" shrinkToFit="0" vertical="center" wrapText="1"/>
    </xf>
    <xf borderId="16" fillId="4" fontId="1" numFmtId="0" xfId="0" applyAlignment="1" applyBorder="1" applyFill="1" applyFont="1">
      <alignment horizontal="left" readingOrder="0" shrinkToFit="0" vertical="center" wrapText="1"/>
    </xf>
    <xf borderId="0" fillId="6" fontId="1" numFmtId="0" xfId="0" applyFill="1" applyFont="1"/>
    <xf borderId="0" fillId="0" fontId="3" numFmtId="0" xfId="0" applyAlignment="1" applyFont="1">
      <alignment readingOrder="0"/>
    </xf>
    <xf borderId="20" fillId="7" fontId="1" numFmtId="0" xfId="0" applyAlignment="1" applyBorder="1" applyFill="1" applyFont="1">
      <alignment shrinkToFit="0" wrapText="1"/>
    </xf>
    <xf borderId="0" fillId="7" fontId="1" numFmtId="0" xfId="0" applyAlignment="1" applyFill="1" applyFont="1">
      <alignment shrinkToFit="0" wrapText="1"/>
    </xf>
    <xf borderId="15" fillId="6" fontId="1" numFmtId="0" xfId="0" applyBorder="1" applyFill="1" applyFont="1"/>
    <xf borderId="15" fillId="8" fontId="1" numFmtId="0" xfId="0" applyAlignment="1" applyBorder="1" applyFill="1" applyFont="1">
      <alignment shrinkToFit="0" wrapText="1"/>
    </xf>
    <xf borderId="21" fillId="0" fontId="1" numFmtId="0" xfId="0" applyBorder="1" applyFont="1"/>
    <xf borderId="22" fillId="6" fontId="1" numFmtId="0" xfId="0" applyBorder="1" applyFill="1" applyFont="1"/>
    <xf borderId="23" fillId="0" fontId="1" numFmtId="0" xfId="0" applyBorder="1" applyFont="1"/>
    <xf borderId="23" fillId="9" fontId="1" numFmtId="0" xfId="0" applyBorder="1" applyFill="1" applyFont="1"/>
    <xf borderId="23" fillId="9" fontId="1" numFmtId="0" xfId="0" applyAlignment="1" applyBorder="1" applyFill="1" applyFont="1">
      <alignment shrinkToFit="0" wrapText="1"/>
    </xf>
    <xf borderId="23" fillId="10" fontId="1" numFmtId="0" xfId="0" applyAlignment="1" applyBorder="1" applyFill="1" applyFont="1">
      <alignment shrinkToFit="0" wrapText="1"/>
    </xf>
    <xf borderId="23" fillId="0" fontId="1" numFmtId="0" xfId="0" applyAlignment="1" applyBorder="1" applyFont="1">
      <alignment readingOrder="0" shrinkToFit="0" wrapText="1"/>
    </xf>
    <xf borderId="23" fillId="0" fontId="1" numFmtId="0" xfId="0" applyAlignment="1" applyBorder="1" applyFont="1">
      <alignment shrinkToFit="0" wrapText="1"/>
    </xf>
    <xf borderId="0" fillId="0" fontId="1" numFmtId="0" xfId="0" applyFont="1"/>
    <xf borderId="0" fillId="9" fontId="3" numFmtId="0" xfId="0" applyFill="1" applyFont="1"/>
    <xf borderId="0" fillId="9" fontId="1" numFmtId="0" xfId="0" applyAlignment="1" applyFill="1" applyFont="1">
      <alignment readingOrder="0" shrinkToFit="0" wrapText="1"/>
    </xf>
    <xf borderId="0" fillId="9" fontId="1" numFmtId="0" xfId="0" applyAlignment="1" applyFill="1" applyFont="1">
      <alignment shrinkToFit="0" wrapText="1"/>
    </xf>
    <xf borderId="0" fillId="11" fontId="1" numFmtId="166" xfId="0" applyAlignment="1" applyFill="1" applyFont="1" applyNumberFormat="1">
      <alignment readingOrder="0" shrinkToFit="0" wrapText="1"/>
    </xf>
    <xf borderId="15" fillId="10" fontId="1" numFmtId="0" xfId="0" applyAlignment="1" applyBorder="1" applyFill="1" applyFont="1">
      <alignment shrinkToFit="0" wrapText="1"/>
    </xf>
    <xf borderId="24" fillId="6" fontId="1" numFmtId="0" xfId="0" applyBorder="1" applyFill="1" applyFont="1"/>
    <xf borderId="25" fillId="0" fontId="1" numFmtId="0" xfId="0" applyBorder="1" applyFont="1"/>
    <xf borderId="15" fillId="9" fontId="1" numFmtId="0" xfId="0" applyAlignment="1" applyBorder="1" applyFill="1" applyFont="1">
      <alignment readingOrder="0" shrinkToFit="0" wrapText="1"/>
    </xf>
    <xf borderId="0" fillId="9" fontId="1" numFmtId="167" xfId="0" applyAlignment="1" applyFill="1" applyFont="1" applyNumberFormat="1">
      <alignment readingOrder="0" shrinkToFit="0" wrapText="1"/>
    </xf>
    <xf borderId="0" fillId="12" fontId="1" numFmtId="0" xfId="0" applyAlignment="1" applyFill="1" applyFont="1">
      <alignment readingOrder="0" shrinkToFit="0" wrapText="1"/>
    </xf>
    <xf borderId="26" fillId="0" fontId="1" numFmtId="0" xfId="0" applyBorder="1" applyFont="1"/>
    <xf borderId="27" fillId="6" fontId="1" numFmtId="0" xfId="0" applyBorder="1" applyFill="1" applyFont="1"/>
    <xf borderId="28" fillId="0" fontId="1" numFmtId="0" xfId="0" applyBorder="1" applyFont="1"/>
    <xf borderId="28" fillId="9" fontId="4" numFmtId="0" xfId="0" applyBorder="1" applyFill="1" applyFont="1"/>
    <xf borderId="28" fillId="9" fontId="4" numFmtId="0" xfId="0" applyAlignment="1" applyBorder="1" applyFill="1" applyFont="1">
      <alignment shrinkToFit="0" wrapText="1"/>
    </xf>
    <xf borderId="28" fillId="0" fontId="1" numFmtId="0" xfId="0" applyAlignment="1" applyBorder="1" applyFont="1">
      <alignment shrinkToFit="0" wrapText="1"/>
    </xf>
    <xf borderId="28" fillId="9" fontId="1" numFmtId="0" xfId="0" applyAlignment="1" applyBorder="1" applyFill="1" applyFont="1">
      <alignment shrinkToFit="0" wrapText="1"/>
    </xf>
    <xf borderId="28" fillId="9" fontId="1" numFmtId="0" xfId="0" applyAlignment="1" applyBorder="1" applyFill="1" applyFont="1">
      <alignment readingOrder="0" shrinkToFit="0" wrapText="1"/>
    </xf>
    <xf borderId="28" fillId="13" fontId="1" numFmtId="0" xfId="0" applyAlignment="1" applyBorder="1" applyFill="1" applyFont="1">
      <alignment readingOrder="0" shrinkToFit="0" wrapText="1"/>
    </xf>
    <xf borderId="27" fillId="9" fontId="1" numFmtId="0" xfId="0" applyAlignment="1" applyBorder="1" applyFill="1" applyFont="1">
      <alignment readingOrder="0" shrinkToFit="0" wrapText="1"/>
    </xf>
    <xf borderId="28" fillId="0" fontId="1" numFmtId="168" xfId="0" applyAlignment="1" applyBorder="1" applyFont="1" applyNumberFormat="1">
      <alignment readingOrder="0" shrinkToFit="0" wrapText="1"/>
    </xf>
    <xf borderId="28" fillId="0" fontId="1" numFmtId="0" xfId="0" applyAlignment="1" applyBorder="1" applyFont="1">
      <alignment readingOrder="0" shrinkToFit="0" wrapText="1"/>
    </xf>
    <xf borderId="25" fillId="0" fontId="1" numFmtId="0" xfId="0" applyAlignment="1" applyBorder="1" applyFont="1">
      <alignment readingOrder="0"/>
    </xf>
    <xf borderId="26" fillId="0" fontId="1" numFmtId="0" xfId="0" applyAlignment="1" applyBorder="1" applyFont="1">
      <alignment readingOrder="0"/>
    </xf>
    <xf borderId="28" fillId="9" fontId="1" numFmtId="0" xfId="0" applyBorder="1" applyFill="1" applyFont="1"/>
    <xf borderId="0" fillId="0" fontId="1" numFmtId="0" xfId="0" applyAlignment="1" applyFont="1">
      <alignment readingOrder="0"/>
    </xf>
    <xf borderId="0" fillId="10" fontId="1" numFmtId="0" xfId="0" applyAlignment="1" applyFill="1" applyFont="1">
      <alignment shrinkToFit="0" wrapText="1"/>
    </xf>
    <xf borderId="0" fillId="10" fontId="1" numFmtId="0" xfId="0" applyAlignment="1" applyFill="1" applyFont="1">
      <alignment readingOrder="0" shrinkToFit="0" wrapText="1"/>
    </xf>
    <xf borderId="28" fillId="13" fontId="1" numFmtId="0" xfId="0" applyAlignment="1" applyBorder="1" applyFill="1" applyFont="1">
      <alignment shrinkToFit="0" wrapText="1"/>
    </xf>
    <xf borderId="29" fillId="0" fontId="1" numFmtId="0" xfId="0" applyBorder="1" applyFont="1"/>
    <xf borderId="30" fillId="0" fontId="1" numFmtId="0" xfId="0" applyBorder="1" applyFont="1"/>
    <xf borderId="15" fillId="14" fontId="1" numFmtId="0" xfId="0" applyBorder="1" applyFill="1" applyFont="1"/>
    <xf borderId="0" fillId="13" fontId="1" numFmtId="0" xfId="0" applyAlignment="1" applyFill="1" applyFont="1">
      <alignment shrinkToFit="0" wrapText="1"/>
    </xf>
    <xf borderId="0" fillId="11" fontId="1" numFmtId="0" xfId="0" applyAlignment="1" applyFill="1" applyFont="1">
      <alignment shrinkToFit="0" wrapText="1"/>
    </xf>
    <xf borderId="0" fillId="9" fontId="1" numFmtId="166" xfId="0" applyAlignment="1" applyFill="1" applyFont="1" applyNumberFormat="1">
      <alignment readingOrder="0" shrinkToFit="0" wrapText="1"/>
    </xf>
    <xf borderId="15" fillId="9" fontId="1" numFmtId="166" xfId="0" applyAlignment="1" applyBorder="1" applyFill="1" applyFont="1" applyNumberFormat="1">
      <alignment readingOrder="0" shrinkToFit="0" wrapText="1"/>
    </xf>
    <xf borderId="0" fillId="9" fontId="1" numFmtId="169" xfId="0" applyAlignment="1" applyFill="1" applyFont="1" applyNumberFormat="1">
      <alignment readingOrder="0" shrinkToFit="0" wrapText="1"/>
    </xf>
    <xf borderId="31" fillId="0" fontId="1" numFmtId="0" xfId="0" applyBorder="1" applyFont="1"/>
    <xf borderId="32" fillId="0" fontId="1" numFmtId="0" xfId="0" applyBorder="1" applyFont="1"/>
    <xf borderId="26" fillId="0" fontId="3" numFmtId="0" xfId="0" applyBorder="1" applyFont="1"/>
    <xf borderId="27" fillId="15" fontId="1" numFmtId="0" xfId="0" applyBorder="1" applyFill="1" applyFont="1"/>
    <xf borderId="28" fillId="0" fontId="3" numFmtId="0" xfId="0" applyBorder="1" applyFont="1"/>
    <xf borderId="28" fillId="0" fontId="3" numFmtId="0" xfId="0" applyAlignment="1" applyBorder="1" applyFont="1">
      <alignment readingOrder="0"/>
    </xf>
    <xf borderId="28" fillId="9" fontId="3" numFmtId="0" xfId="0" applyBorder="1" applyFill="1" applyFont="1"/>
    <xf borderId="28" fillId="12" fontId="1" numFmtId="0" xfId="0" applyAlignment="1" applyBorder="1" applyFill="1" applyFont="1">
      <alignment shrinkToFit="0" wrapText="1"/>
    </xf>
    <xf borderId="33" fillId="0" fontId="3" numFmtId="0" xfId="0" applyBorder="1" applyFont="1"/>
    <xf borderId="34" fillId="15" fontId="1" numFmtId="0" xfId="0" applyBorder="1" applyFill="1" applyFont="1"/>
    <xf borderId="28" fillId="11" fontId="1" numFmtId="0" xfId="0" applyAlignment="1" applyBorder="1" applyFill="1" applyFont="1">
      <alignment readingOrder="0" shrinkToFit="0" wrapText="1"/>
    </xf>
    <xf borderId="0" fillId="13" fontId="1" numFmtId="0" xfId="0" applyAlignment="1" applyFill="1" applyFont="1">
      <alignment readingOrder="0" shrinkToFit="0" wrapText="1"/>
    </xf>
    <xf borderId="0" fillId="12" fontId="1" numFmtId="0" xfId="0" applyAlignment="1" applyFill="1" applyFont="1">
      <alignment shrinkToFit="0" wrapText="1"/>
    </xf>
    <xf borderId="15" fillId="15" fontId="1" numFmtId="0" xfId="0" applyBorder="1" applyFill="1" applyFont="1"/>
    <xf borderId="0" fillId="11" fontId="1" numFmtId="0" xfId="0" applyAlignment="1" applyFill="1" applyFont="1">
      <alignment readingOrder="0" shrinkToFit="0" wrapText="1"/>
    </xf>
    <xf borderId="27" fillId="16" fontId="1" numFmtId="0" xfId="0" applyBorder="1" applyFill="1" applyFont="1"/>
    <xf borderId="28" fillId="0" fontId="1" numFmtId="169" xfId="0" applyAlignment="1" applyBorder="1" applyFont="1" applyNumberFormat="1">
      <alignment readingOrder="0" shrinkToFit="0" wrapText="1"/>
    </xf>
    <xf borderId="34" fillId="16" fontId="1" numFmtId="0" xfId="0" applyBorder="1" applyFill="1" applyFont="1"/>
    <xf borderId="15" fillId="16" fontId="1" numFmtId="0" xfId="0" applyBorder="1" applyFill="1" applyFon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2" width="8.71"/>
    <col customWidth="1" min="3" max="3" width="16.57"/>
    <col customWidth="1" min="4" max="4" width="17.86"/>
    <col customWidth="1" min="5" max="5" width="9.29"/>
    <col customWidth="1" min="6" max="7" width="12.0"/>
    <col customWidth="1" min="8" max="8" width="9.71"/>
    <col customWidth="1" min="9" max="9" width="11.29"/>
    <col customWidth="1" min="10" max="10" width="13.0"/>
    <col customWidth="1" hidden="1" min="11" max="11" width="10.14"/>
    <col customWidth="1" hidden="1" min="12" max="12" width="12.0"/>
    <col customWidth="1" hidden="1" min="13" max="16" width="14.57"/>
    <col customWidth="1" min="17" max="17" width="13.0"/>
    <col customWidth="1" min="18" max="18" width="10.43"/>
    <col customWidth="1" min="19" max="19" width="11.29"/>
    <col customWidth="1" min="20" max="20" width="11.0"/>
    <col customWidth="1" min="21" max="21" width="16.29"/>
    <col customWidth="1" min="22" max="22" width="12.29"/>
    <col customWidth="1" min="23" max="23" width="18.57"/>
    <col customWidth="1" min="24" max="24" width="12.43"/>
    <col customWidth="1" min="25" max="25" width="12.57"/>
    <col customWidth="1" min="26" max="26" width="15.0"/>
    <col customWidth="1" min="27" max="27" width="13.71"/>
    <col customWidth="1" min="28" max="28" width="15.29"/>
    <col customWidth="1" min="29" max="29" width="13.14"/>
    <col customWidth="1" min="30" max="30" width="11.14"/>
    <col customWidth="1" min="31" max="31" width="12.71"/>
    <col customWidth="1" min="32" max="32" width="12.29"/>
    <col customWidth="1" min="33" max="33" width="13.0"/>
    <col customWidth="1" min="34" max="34" width="14.57"/>
    <col customWidth="1" min="35" max="35" width="11.29"/>
    <col customWidth="1" min="36" max="36" width="11.86"/>
    <col customWidth="1" min="37" max="37" width="8.57"/>
    <col customWidth="1" min="38" max="38" width="10.86"/>
    <col customWidth="1" min="39" max="40" width="14.57"/>
    <col customWidth="1" min="41" max="41" width="14.86"/>
    <col customWidth="1" min="42" max="46" width="14.57"/>
    <col customWidth="1" min="47" max="47" width="17.0"/>
    <col customWidth="1" min="48" max="48" width="14.57"/>
    <col customWidth="1" min="49" max="49" width="16.86"/>
    <col customWidth="1" min="50" max="65" width="14.57"/>
    <col customWidth="1" min="66" max="67" width="14.14"/>
    <col customWidth="1" min="68" max="68" width="18.57"/>
    <col customWidth="1" min="69" max="69" width="8.71"/>
    <col customWidth="1" min="70" max="70" width="11.0"/>
    <col customWidth="1" min="71" max="71" width="8.71"/>
    <col customWidth="1" min="72" max="72" width="9.57"/>
    <col customWidth="1" min="73" max="73" width="12.29"/>
    <col customWidth="1" min="74" max="76" width="10.86"/>
    <col customWidth="1" min="77" max="77" width="8.71"/>
  </cols>
  <sheetData>
    <row r="1">
      <c r="C1" s="1"/>
      <c r="F1" s="1"/>
      <c r="G1" s="1"/>
      <c r="H1" s="1"/>
      <c r="I1" s="1"/>
      <c r="J1" s="1"/>
      <c r="K1" s="2" t="s">
        <v>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5" t="s">
        <v>1</v>
      </c>
    </row>
    <row r="2">
      <c r="C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2</v>
      </c>
      <c r="T2" s="1" t="s">
        <v>2</v>
      </c>
      <c r="U2" s="6" t="s">
        <v>3</v>
      </c>
      <c r="W2" s="1" t="s">
        <v>2</v>
      </c>
      <c r="X2" s="1" t="s">
        <v>2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7" t="s">
        <v>4</v>
      </c>
      <c r="AR2" s="8" t="s">
        <v>5</v>
      </c>
      <c r="AS2" s="1"/>
      <c r="AT2" s="1"/>
      <c r="AU2" s="1" t="s">
        <v>3</v>
      </c>
      <c r="AV2" s="1"/>
      <c r="AW2" s="1"/>
      <c r="AX2" s="8" t="s">
        <v>5</v>
      </c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 t="s">
        <v>6</v>
      </c>
      <c r="BO2" s="1"/>
      <c r="BP2" s="1"/>
      <c r="BQ2" s="1"/>
      <c r="BR2" s="1"/>
      <c r="BS2" s="1" t="s">
        <v>7</v>
      </c>
      <c r="BT2" s="5" t="s">
        <v>8</v>
      </c>
      <c r="BU2" s="5" t="s">
        <v>9</v>
      </c>
      <c r="BV2" s="1" t="s">
        <v>10</v>
      </c>
      <c r="BW2" s="1" t="s">
        <v>11</v>
      </c>
      <c r="BX2" s="1" t="s">
        <v>12</v>
      </c>
      <c r="BY2" s="1"/>
    </row>
    <row r="3">
      <c r="C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6" t="s">
        <v>13</v>
      </c>
      <c r="V3" s="6" t="s">
        <v>14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V3" s="1"/>
      <c r="BW3" s="1"/>
      <c r="BX3" s="1"/>
      <c r="BY3" s="1"/>
    </row>
    <row r="4">
      <c r="C4" s="1"/>
      <c r="D4" s="5" t="s">
        <v>15</v>
      </c>
      <c r="F4" s="1"/>
      <c r="G4" s="1">
        <v>1.0</v>
      </c>
      <c r="H4" s="1">
        <v>20.0</v>
      </c>
      <c r="I4" s="1">
        <v>10.0</v>
      </c>
      <c r="J4" s="1"/>
      <c r="K4" s="1">
        <v>5.0</v>
      </c>
      <c r="L4" s="1">
        <v>5.0</v>
      </c>
      <c r="M4" s="1">
        <v>5.0</v>
      </c>
      <c r="N4" s="1">
        <v>5.0</v>
      </c>
      <c r="O4" s="1">
        <v>5.0</v>
      </c>
      <c r="P4" s="1">
        <v>5.0</v>
      </c>
      <c r="Q4" s="1">
        <v>10.0</v>
      </c>
      <c r="R4" s="1">
        <v>10.0</v>
      </c>
      <c r="S4" s="1"/>
      <c r="T4" s="1">
        <v>5.0</v>
      </c>
      <c r="U4" s="1"/>
      <c r="V4" s="1">
        <v>20.0</v>
      </c>
      <c r="W4" s="1">
        <v>10.0</v>
      </c>
      <c r="X4" s="1"/>
      <c r="Y4" s="1">
        <v>10.0</v>
      </c>
      <c r="Z4" s="1">
        <v>10.0</v>
      </c>
      <c r="AA4" s="1">
        <v>5.0</v>
      </c>
      <c r="AB4" s="1">
        <v>5.0</v>
      </c>
      <c r="AC4" s="1">
        <v>5.0</v>
      </c>
      <c r="AD4" s="1">
        <v>120.0</v>
      </c>
      <c r="AE4" s="1">
        <v>5.0</v>
      </c>
      <c r="AF4" s="1">
        <v>10.0</v>
      </c>
      <c r="AG4" s="1">
        <v>10.0</v>
      </c>
      <c r="AH4" s="1">
        <v>5.0</v>
      </c>
      <c r="AI4" s="1">
        <v>10.0</v>
      </c>
      <c r="AJ4" s="1">
        <v>10.0</v>
      </c>
      <c r="AK4" s="1">
        <v>10.0</v>
      </c>
      <c r="AL4" s="1"/>
      <c r="AM4" s="1">
        <v>10.0</v>
      </c>
      <c r="AN4" s="1"/>
      <c r="AO4" s="1">
        <v>5.0</v>
      </c>
      <c r="AP4" s="1">
        <v>5.0</v>
      </c>
      <c r="AQ4" s="1">
        <v>20.0</v>
      </c>
      <c r="AR4" s="1"/>
      <c r="AS4" s="1">
        <v>20.0</v>
      </c>
      <c r="AT4" s="1">
        <v>20.0</v>
      </c>
      <c r="AU4" s="1">
        <v>5.0</v>
      </c>
      <c r="AV4" s="1">
        <v>30.0</v>
      </c>
      <c r="AW4" s="1">
        <v>20.0</v>
      </c>
      <c r="AX4" s="1">
        <v>30.0</v>
      </c>
      <c r="AY4" s="1">
        <v>5.0</v>
      </c>
      <c r="AZ4" s="1"/>
      <c r="BA4" s="8">
        <v>2.0</v>
      </c>
      <c r="BB4" s="1"/>
      <c r="BC4" s="1"/>
      <c r="BD4" s="1"/>
      <c r="BE4" s="1"/>
      <c r="BF4" s="1"/>
      <c r="BG4" s="1"/>
      <c r="BH4" s="1">
        <v>5.0</v>
      </c>
      <c r="BI4" s="1">
        <v>10.0</v>
      </c>
      <c r="BJ4" s="1"/>
      <c r="BK4" s="1"/>
      <c r="BL4" s="1">
        <v>5.0</v>
      </c>
      <c r="BM4" s="1">
        <v>5.0</v>
      </c>
      <c r="BN4" s="1">
        <v>5.0</v>
      </c>
      <c r="BO4" s="1"/>
      <c r="BP4" s="1">
        <v>10.0</v>
      </c>
      <c r="BQ4" s="1">
        <v>10.0</v>
      </c>
      <c r="BR4" s="1"/>
      <c r="BS4" s="9">
        <f>SUM(G4:BR4)</f>
        <v>553</v>
      </c>
      <c r="BT4" s="10">
        <f>BS4/60</f>
        <v>9.216666667</v>
      </c>
      <c r="BU4" s="11">
        <v>500.0</v>
      </c>
      <c r="BV4" s="11">
        <f>BT4*BU4</f>
        <v>4608.333333</v>
      </c>
      <c r="BW4" s="11">
        <f>BV4*1.3-BV4</f>
        <v>1382.5</v>
      </c>
      <c r="BX4" s="11">
        <f>BV4+BW4</f>
        <v>5990.833333</v>
      </c>
      <c r="BY4" s="12"/>
    </row>
    <row r="5">
      <c r="C5" s="1"/>
      <c r="D5" s="13" t="s">
        <v>16</v>
      </c>
      <c r="E5" s="13" t="s">
        <v>17</v>
      </c>
      <c r="F5" s="14" t="s">
        <v>18</v>
      </c>
      <c r="G5" s="15" t="s">
        <v>19</v>
      </c>
      <c r="H5" s="16" t="s">
        <v>20</v>
      </c>
      <c r="I5" s="16" t="s">
        <v>21</v>
      </c>
      <c r="J5" s="17" t="s">
        <v>22</v>
      </c>
      <c r="K5" s="16" t="s">
        <v>23</v>
      </c>
      <c r="L5" s="16" t="s">
        <v>24</v>
      </c>
      <c r="M5" s="16" t="s">
        <v>25</v>
      </c>
      <c r="N5" s="16" t="s">
        <v>26</v>
      </c>
      <c r="O5" s="16" t="s">
        <v>27</v>
      </c>
      <c r="P5" s="16" t="s">
        <v>28</v>
      </c>
      <c r="Q5" s="18" t="s">
        <v>29</v>
      </c>
      <c r="R5" s="18" t="s">
        <v>30</v>
      </c>
      <c r="S5" s="18" t="s">
        <v>31</v>
      </c>
      <c r="T5" s="18" t="s">
        <v>32</v>
      </c>
      <c r="U5" s="19" t="s">
        <v>33</v>
      </c>
      <c r="V5" s="20"/>
      <c r="W5" s="18" t="s">
        <v>34</v>
      </c>
      <c r="X5" s="18" t="s">
        <v>35</v>
      </c>
      <c r="Y5" s="18" t="s">
        <v>36</v>
      </c>
      <c r="Z5" s="16" t="s">
        <v>37</v>
      </c>
      <c r="AA5" s="16" t="s">
        <v>38</v>
      </c>
      <c r="AB5" s="16" t="s">
        <v>39</v>
      </c>
      <c r="AC5" s="16" t="s">
        <v>40</v>
      </c>
      <c r="AD5" s="16" t="s">
        <v>41</v>
      </c>
      <c r="AE5" s="15" t="s">
        <v>42</v>
      </c>
      <c r="AF5" s="16" t="s">
        <v>43</v>
      </c>
      <c r="AG5" s="16" t="s">
        <v>44</v>
      </c>
      <c r="AH5" s="16" t="s">
        <v>45</v>
      </c>
      <c r="AI5" s="16" t="s">
        <v>46</v>
      </c>
      <c r="AJ5" s="21" t="s">
        <v>47</v>
      </c>
      <c r="AK5" s="22" t="s">
        <v>48</v>
      </c>
      <c r="AL5" s="23"/>
      <c r="AM5" s="24" t="s">
        <v>49</v>
      </c>
      <c r="AN5" s="23"/>
      <c r="AO5" s="18" t="s">
        <v>50</v>
      </c>
      <c r="AP5" s="18" t="s">
        <v>51</v>
      </c>
      <c r="AQ5" s="25" t="s">
        <v>52</v>
      </c>
      <c r="AR5" s="26"/>
      <c r="AS5" s="16" t="s">
        <v>53</v>
      </c>
      <c r="AT5" s="16" t="s">
        <v>54</v>
      </c>
      <c r="AU5" s="16" t="s">
        <v>55</v>
      </c>
      <c r="AV5" s="16" t="s">
        <v>56</v>
      </c>
      <c r="AW5" s="16" t="s">
        <v>57</v>
      </c>
      <c r="AX5" s="16" t="s">
        <v>58</v>
      </c>
      <c r="AY5" s="27" t="s">
        <v>59</v>
      </c>
      <c r="AZ5" s="18" t="s">
        <v>60</v>
      </c>
      <c r="BA5" s="28" t="s">
        <v>61</v>
      </c>
      <c r="BB5" s="20"/>
      <c r="BC5" s="18" t="s">
        <v>62</v>
      </c>
      <c r="BD5" s="18" t="s">
        <v>63</v>
      </c>
      <c r="BE5" s="18" t="s">
        <v>64</v>
      </c>
      <c r="BF5" s="18" t="s">
        <v>65</v>
      </c>
      <c r="BG5" s="27" t="s">
        <v>66</v>
      </c>
      <c r="BH5" s="27" t="s">
        <v>67</v>
      </c>
      <c r="BI5" s="16" t="s">
        <v>68</v>
      </c>
      <c r="BJ5" s="16" t="s">
        <v>69</v>
      </c>
      <c r="BK5" s="15" t="s">
        <v>70</v>
      </c>
      <c r="BL5" s="18" t="s">
        <v>71</v>
      </c>
      <c r="BM5" s="18" t="s">
        <v>72</v>
      </c>
      <c r="BN5" s="28" t="s">
        <v>73</v>
      </c>
      <c r="BO5" s="20"/>
      <c r="BP5" s="18" t="s">
        <v>74</v>
      </c>
      <c r="BQ5" s="18" t="s">
        <v>75</v>
      </c>
      <c r="BR5" s="1"/>
      <c r="BS5" s="1"/>
    </row>
    <row r="6">
      <c r="C6" s="1"/>
      <c r="D6" s="29"/>
      <c r="E6" s="29"/>
      <c r="F6" s="30"/>
      <c r="G6" s="31"/>
      <c r="H6" s="31"/>
      <c r="I6" s="31"/>
      <c r="J6" s="32"/>
      <c r="K6" s="31"/>
      <c r="L6" s="31"/>
      <c r="M6" s="31"/>
      <c r="N6" s="31"/>
      <c r="O6" s="31"/>
      <c r="P6" s="31"/>
      <c r="Q6" s="33"/>
      <c r="R6" s="33"/>
      <c r="S6" s="33"/>
      <c r="T6" s="33"/>
      <c r="U6" s="34"/>
      <c r="V6" s="34"/>
      <c r="W6" s="33"/>
      <c r="X6" s="33"/>
      <c r="Y6" s="33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5"/>
      <c r="AK6" s="36" t="s">
        <v>76</v>
      </c>
      <c r="AL6" s="37" t="s">
        <v>77</v>
      </c>
      <c r="AM6" s="36" t="s">
        <v>76</v>
      </c>
      <c r="AN6" s="37" t="s">
        <v>77</v>
      </c>
      <c r="AO6" s="33"/>
      <c r="AP6" s="33"/>
      <c r="AQ6" s="36" t="s">
        <v>76</v>
      </c>
      <c r="AR6" s="37" t="s">
        <v>77</v>
      </c>
      <c r="AS6" s="31"/>
      <c r="AT6" s="31"/>
      <c r="AU6" s="31"/>
      <c r="AV6" s="31"/>
      <c r="AW6" s="31"/>
      <c r="AX6" s="31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1"/>
      <c r="BJ6" s="31"/>
      <c r="BK6" s="31"/>
      <c r="BL6" s="33"/>
      <c r="BM6" s="33"/>
      <c r="BN6" s="38" t="s">
        <v>76</v>
      </c>
      <c r="BO6" s="38" t="s">
        <v>78</v>
      </c>
      <c r="BP6" s="33"/>
      <c r="BQ6" s="33"/>
      <c r="BR6" s="1"/>
      <c r="BS6" s="1"/>
    </row>
    <row r="7">
      <c r="B7" s="39"/>
      <c r="C7" s="8" t="s">
        <v>79</v>
      </c>
      <c r="E7" s="40" t="s">
        <v>80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41"/>
      <c r="AK7" s="42"/>
      <c r="AL7" s="1"/>
      <c r="AM7" s="42"/>
      <c r="AN7" s="1"/>
      <c r="AO7" s="42"/>
      <c r="AP7" s="1"/>
      <c r="AQ7" s="42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</row>
    <row r="8">
      <c r="B8" s="43" t="s">
        <v>81</v>
      </c>
      <c r="C8" s="1" t="s">
        <v>82</v>
      </c>
      <c r="D8" s="5" t="s">
        <v>83</v>
      </c>
      <c r="E8" s="5" t="s">
        <v>84</v>
      </c>
      <c r="F8" s="1"/>
      <c r="G8" s="1" t="s">
        <v>85</v>
      </c>
      <c r="H8" s="1" t="s">
        <v>86</v>
      </c>
      <c r="I8" s="1"/>
      <c r="J8" s="1"/>
      <c r="K8" s="1"/>
      <c r="L8" s="1"/>
      <c r="M8" s="1" t="s">
        <v>87</v>
      </c>
      <c r="N8" s="1" t="s">
        <v>87</v>
      </c>
      <c r="O8" s="1" t="s">
        <v>87</v>
      </c>
      <c r="P8" s="1"/>
      <c r="Q8" s="1" t="s">
        <v>87</v>
      </c>
      <c r="R8" s="1" t="s">
        <v>87</v>
      </c>
      <c r="S8" s="1" t="s">
        <v>87</v>
      </c>
      <c r="T8" s="1" t="s">
        <v>87</v>
      </c>
      <c r="U8" s="1" t="s">
        <v>88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44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</row>
    <row r="9">
      <c r="A9" s="45"/>
      <c r="B9" s="46" t="s">
        <v>81</v>
      </c>
      <c r="C9" s="47" t="s">
        <v>89</v>
      </c>
      <c r="D9" s="47" t="s">
        <v>90</v>
      </c>
      <c r="E9" s="48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50"/>
      <c r="BJ9" s="51" t="s">
        <v>91</v>
      </c>
      <c r="BK9" s="52"/>
      <c r="BL9" s="52"/>
      <c r="BM9" s="52"/>
      <c r="BN9" s="52"/>
      <c r="BO9" s="52"/>
      <c r="BP9" s="52"/>
      <c r="BQ9" s="52"/>
      <c r="BR9" s="52"/>
      <c r="BS9" s="52"/>
      <c r="BT9" s="47"/>
      <c r="BU9" s="47"/>
      <c r="BV9" s="47"/>
      <c r="BW9" s="47"/>
      <c r="BX9" s="47"/>
      <c r="BY9" s="53"/>
    </row>
    <row r="10">
      <c r="B10" s="43" t="s">
        <v>81</v>
      </c>
      <c r="C10" s="5" t="s">
        <v>92</v>
      </c>
      <c r="D10" s="53" t="s">
        <v>93</v>
      </c>
      <c r="E10" s="54"/>
      <c r="F10" s="55" t="s">
        <v>94</v>
      </c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1"/>
      <c r="BN10" s="57">
        <v>46280.0</v>
      </c>
      <c r="BO10" s="1"/>
      <c r="BP10" s="1"/>
      <c r="BQ10" s="58"/>
      <c r="BR10" s="1"/>
      <c r="BS10" s="1"/>
    </row>
    <row r="11">
      <c r="B11" s="59" t="s">
        <v>81</v>
      </c>
      <c r="C11" s="60" t="s">
        <v>92</v>
      </c>
      <c r="D11" s="60" t="s">
        <v>95</v>
      </c>
      <c r="E11" s="54"/>
      <c r="F11" s="55" t="s">
        <v>96</v>
      </c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61"/>
      <c r="BB11" s="55"/>
      <c r="BC11" s="56"/>
      <c r="BD11" s="56"/>
      <c r="BE11" s="56"/>
      <c r="BF11" s="56"/>
      <c r="BG11" s="62">
        <v>46266.0</v>
      </c>
      <c r="BH11" s="62">
        <v>46267.0</v>
      </c>
      <c r="BI11" s="55"/>
      <c r="BJ11" s="56"/>
      <c r="BK11" s="56"/>
      <c r="BL11" s="56"/>
      <c r="BM11" s="56"/>
      <c r="BN11" s="56"/>
      <c r="BO11" s="56"/>
      <c r="BP11" s="56"/>
      <c r="BQ11" s="63" t="s">
        <v>97</v>
      </c>
      <c r="BR11" s="1"/>
      <c r="BS11" s="1"/>
    </row>
    <row r="13">
      <c r="A13" s="64"/>
      <c r="B13" s="65" t="s">
        <v>81</v>
      </c>
      <c r="C13" s="66" t="s">
        <v>92</v>
      </c>
      <c r="D13" s="66" t="s">
        <v>98</v>
      </c>
      <c r="E13" s="67"/>
      <c r="F13" s="68"/>
      <c r="G13" s="68"/>
      <c r="H13" s="68"/>
      <c r="I13" s="68"/>
      <c r="J13" s="68"/>
      <c r="K13" s="69"/>
      <c r="L13" s="69"/>
      <c r="M13" s="69"/>
      <c r="N13" s="69"/>
      <c r="O13" s="69"/>
      <c r="P13" s="69"/>
      <c r="Q13" s="70"/>
      <c r="R13" s="70"/>
      <c r="S13" s="70"/>
      <c r="T13" s="71" t="s">
        <v>99</v>
      </c>
      <c r="U13" s="71" t="s">
        <v>99</v>
      </c>
      <c r="V13" s="71" t="s">
        <v>99</v>
      </c>
      <c r="W13" s="71" t="s">
        <v>100</v>
      </c>
      <c r="X13" s="72" t="s">
        <v>101</v>
      </c>
      <c r="Y13" s="70"/>
      <c r="Z13" s="70"/>
      <c r="AA13" s="69"/>
      <c r="AB13" s="70"/>
      <c r="AC13" s="70"/>
      <c r="AD13" s="70"/>
      <c r="AE13" s="72" t="s">
        <v>102</v>
      </c>
      <c r="AF13" s="70"/>
      <c r="AG13" s="70"/>
      <c r="AH13" s="70"/>
      <c r="AI13" s="71" t="s">
        <v>103</v>
      </c>
      <c r="AJ13" s="73" t="s">
        <v>103</v>
      </c>
      <c r="AK13" s="69"/>
      <c r="AL13" s="69"/>
      <c r="AM13" s="70"/>
      <c r="AN13" s="70"/>
      <c r="AO13" s="70"/>
      <c r="AP13" s="70"/>
      <c r="AQ13" s="74">
        <v>46280.0</v>
      </c>
      <c r="AR13" s="69"/>
      <c r="AS13" s="69"/>
      <c r="AT13" s="71" t="s">
        <v>104</v>
      </c>
      <c r="AU13" s="71" t="s">
        <v>104</v>
      </c>
      <c r="AV13" s="70"/>
      <c r="AW13" s="70"/>
      <c r="AX13" s="69"/>
      <c r="AY13" s="74">
        <v>46280.0</v>
      </c>
      <c r="AZ13" s="75" t="s">
        <v>105</v>
      </c>
      <c r="BA13" s="75" t="s">
        <v>105</v>
      </c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6"/>
      <c r="BU13" s="66"/>
      <c r="BV13" s="66"/>
      <c r="BW13" s="66"/>
      <c r="BX13" s="66"/>
      <c r="BY13" s="53"/>
    </row>
    <row r="14">
      <c r="B14" s="59" t="s">
        <v>81</v>
      </c>
      <c r="C14" s="76" t="s">
        <v>106</v>
      </c>
      <c r="D14" s="60" t="s">
        <v>107</v>
      </c>
      <c r="E14" s="54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</row>
    <row r="15">
      <c r="A15" s="77" t="s">
        <v>108</v>
      </c>
      <c r="B15" s="65" t="s">
        <v>81</v>
      </c>
      <c r="C15" s="66"/>
      <c r="D15" s="66" t="s">
        <v>109</v>
      </c>
      <c r="E15" s="78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5" t="s">
        <v>110</v>
      </c>
      <c r="U15" s="75" t="s">
        <v>111</v>
      </c>
      <c r="V15" s="69"/>
      <c r="W15" s="71" t="s">
        <v>100</v>
      </c>
      <c r="X15" s="69"/>
      <c r="Y15" s="70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70"/>
      <c r="AN15" s="70"/>
      <c r="AO15" s="69"/>
      <c r="AP15" s="69"/>
      <c r="AQ15" s="70"/>
      <c r="AR15" s="70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69"/>
      <c r="BT15" s="66"/>
      <c r="BU15" s="66"/>
      <c r="BV15" s="66"/>
      <c r="BW15" s="66"/>
      <c r="BX15" s="66"/>
      <c r="BY15" s="53"/>
    </row>
    <row r="16">
      <c r="B16" s="43" t="s">
        <v>81</v>
      </c>
      <c r="D16" s="79" t="s">
        <v>112</v>
      </c>
      <c r="E16" s="54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80"/>
      <c r="BO16" s="80"/>
      <c r="BP16" s="80"/>
      <c r="BQ16" s="81" t="s">
        <v>113</v>
      </c>
      <c r="BR16" s="1"/>
      <c r="BS16" s="1"/>
    </row>
    <row r="17">
      <c r="B17" s="43" t="s">
        <v>81</v>
      </c>
      <c r="D17" s="5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</row>
    <row r="18">
      <c r="A18" s="64"/>
      <c r="B18" s="65" t="s">
        <v>81</v>
      </c>
      <c r="C18" s="66"/>
      <c r="D18" s="66" t="s">
        <v>114</v>
      </c>
      <c r="E18" s="78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82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6"/>
      <c r="BU18" s="66"/>
      <c r="BV18" s="66"/>
      <c r="BW18" s="66"/>
      <c r="BX18" s="66"/>
      <c r="BY18" s="53"/>
    </row>
    <row r="19">
      <c r="B19" s="43" t="s">
        <v>81</v>
      </c>
      <c r="D19" s="5" t="s">
        <v>115</v>
      </c>
      <c r="E19" s="40" t="s">
        <v>116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</row>
    <row r="20">
      <c r="A20" s="40" t="s">
        <v>108</v>
      </c>
      <c r="B20" s="43" t="s">
        <v>81</v>
      </c>
      <c r="D20" s="40" t="s">
        <v>117</v>
      </c>
      <c r="E20" s="78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5" t="s">
        <v>118</v>
      </c>
      <c r="U20" s="75" t="s">
        <v>111</v>
      </c>
      <c r="V20" s="75" t="s">
        <v>119</v>
      </c>
      <c r="W20" s="71" t="s">
        <v>100</v>
      </c>
      <c r="X20" s="69"/>
      <c r="Y20" s="70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</row>
    <row r="21">
      <c r="A21" s="64"/>
      <c r="B21" s="65" t="s">
        <v>81</v>
      </c>
      <c r="C21" s="66"/>
      <c r="D21" s="66"/>
      <c r="E21" s="66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6"/>
      <c r="BU21" s="66"/>
      <c r="BV21" s="66"/>
      <c r="BW21" s="66"/>
      <c r="BX21" s="66"/>
      <c r="BY21" s="53"/>
    </row>
    <row r="22" ht="15.75" customHeight="1">
      <c r="B22" s="83"/>
      <c r="C22" s="84"/>
      <c r="D22" s="8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</row>
    <row r="23" ht="15.75" customHeight="1">
      <c r="B23" s="85" t="s">
        <v>120</v>
      </c>
      <c r="D23" s="40" t="s">
        <v>121</v>
      </c>
      <c r="E23" s="54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8" t="s">
        <v>122</v>
      </c>
      <c r="V23" s="8" t="s">
        <v>122</v>
      </c>
      <c r="W23" s="56"/>
      <c r="X23" s="56"/>
      <c r="Y23" s="56"/>
      <c r="Z23" s="56"/>
      <c r="AA23" s="56"/>
      <c r="AB23" s="56"/>
      <c r="AC23" s="56"/>
      <c r="AD23" s="56"/>
      <c r="AE23" s="86"/>
      <c r="AF23" s="56"/>
      <c r="AG23" s="56"/>
      <c r="AH23" s="56"/>
      <c r="AI23" s="56"/>
      <c r="AJ23" s="56"/>
      <c r="AK23" s="1"/>
      <c r="AL23" s="1"/>
      <c r="AM23" s="56"/>
      <c r="AN23" s="87"/>
      <c r="AO23" s="88">
        <v>46258.0</v>
      </c>
      <c r="AP23" s="89">
        <v>46281.0</v>
      </c>
      <c r="AQ23" s="62">
        <v>46274.0</v>
      </c>
      <c r="AR23" s="1"/>
      <c r="AS23" s="1"/>
      <c r="AT23" s="1"/>
      <c r="AU23" s="1"/>
      <c r="AV23" s="1"/>
      <c r="AW23" s="1"/>
      <c r="AX23" s="1"/>
      <c r="AY23" s="8" t="s">
        <v>123</v>
      </c>
      <c r="AZ23" s="1"/>
      <c r="BA23" s="90">
        <v>46258.0</v>
      </c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</row>
    <row r="24" ht="15.75" customHeight="1">
      <c r="B24" s="85" t="s">
        <v>120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</row>
    <row r="25" ht="15.75" customHeight="1">
      <c r="B25" s="85" t="s">
        <v>120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</row>
    <row r="26" ht="15.75" customHeight="1">
      <c r="B26" s="85" t="s">
        <v>120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</row>
    <row r="27" ht="15.75" customHeight="1">
      <c r="B27" s="85" t="s">
        <v>120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</row>
    <row r="28" ht="15.75" customHeight="1">
      <c r="B28" s="91"/>
      <c r="C28" s="92"/>
      <c r="D28" s="9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</row>
    <row r="29" ht="15.75" customHeight="1">
      <c r="A29" s="93"/>
      <c r="B29" s="94" t="s">
        <v>124</v>
      </c>
      <c r="C29" s="95"/>
      <c r="D29" s="96" t="s">
        <v>125</v>
      </c>
      <c r="E29" s="97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1" t="s">
        <v>126</v>
      </c>
      <c r="BM29" s="82"/>
      <c r="BN29" s="82"/>
      <c r="BO29" s="82"/>
      <c r="BP29" s="82"/>
      <c r="BQ29" s="72" t="s">
        <v>122</v>
      </c>
      <c r="BR29" s="98"/>
      <c r="BS29" s="69"/>
      <c r="BT29" s="95"/>
      <c r="BU29" s="95"/>
      <c r="BV29" s="95"/>
      <c r="BW29" s="95"/>
      <c r="BX29" s="99"/>
    </row>
    <row r="30" ht="15.75" customHeight="1">
      <c r="B30" s="100" t="s">
        <v>124</v>
      </c>
      <c r="D30" s="40" t="s">
        <v>127</v>
      </c>
      <c r="E30" s="54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101" t="s">
        <v>126</v>
      </c>
      <c r="BM30" s="1"/>
      <c r="BN30" s="1"/>
      <c r="BO30" s="1"/>
      <c r="BP30" s="1"/>
      <c r="BQ30" s="102" t="s">
        <v>122</v>
      </c>
      <c r="BR30" s="103"/>
      <c r="BS30" s="1"/>
    </row>
    <row r="31" ht="15.75" customHeight="1">
      <c r="B31" s="104" t="s">
        <v>124</v>
      </c>
      <c r="C31" s="5" t="s">
        <v>128</v>
      </c>
      <c r="D31" s="5" t="s">
        <v>129</v>
      </c>
      <c r="E31" s="54"/>
      <c r="F31" s="56"/>
      <c r="G31" s="56"/>
      <c r="H31" s="56"/>
      <c r="I31" s="5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</row>
    <row r="32" ht="15.75" customHeight="1">
      <c r="B32" s="104" t="s">
        <v>124</v>
      </c>
      <c r="C32" s="5" t="s">
        <v>130</v>
      </c>
      <c r="D32" s="5" t="s">
        <v>131</v>
      </c>
      <c r="E32" s="54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80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62">
        <v>46273.0</v>
      </c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</row>
    <row r="33" ht="15.75" customHeight="1">
      <c r="B33" s="104" t="s">
        <v>124</v>
      </c>
      <c r="C33" s="5" t="s">
        <v>132</v>
      </c>
      <c r="D33" s="5" t="s">
        <v>133</v>
      </c>
      <c r="E33" s="54"/>
      <c r="F33" s="56"/>
      <c r="G33" s="56"/>
      <c r="H33" s="56"/>
      <c r="I33" s="5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</row>
    <row r="34" ht="15.75" customHeight="1">
      <c r="B34" s="104" t="s">
        <v>124</v>
      </c>
      <c r="D34" s="5" t="s">
        <v>134</v>
      </c>
      <c r="E34" s="54"/>
      <c r="F34" s="56"/>
      <c r="G34" s="56"/>
      <c r="H34" s="56"/>
      <c r="I34" s="8" t="s">
        <v>135</v>
      </c>
      <c r="J34" s="1"/>
      <c r="K34" s="1"/>
      <c r="L34" s="1"/>
      <c r="M34" s="1"/>
      <c r="N34" s="1"/>
      <c r="O34" s="1"/>
      <c r="P34" s="1"/>
      <c r="Q34" s="1"/>
      <c r="R34" s="105" t="s">
        <v>136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</row>
    <row r="35" ht="15.75" customHeight="1">
      <c r="B35" s="104" t="s">
        <v>124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</row>
    <row r="36" ht="15.75" customHeight="1">
      <c r="B36" s="91"/>
      <c r="C36" s="92"/>
      <c r="D36" s="9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</row>
    <row r="37" ht="15.75" customHeight="1">
      <c r="A37" s="93"/>
      <c r="B37" s="106" t="s">
        <v>137</v>
      </c>
      <c r="C37" s="95"/>
      <c r="D37" s="95" t="s">
        <v>138</v>
      </c>
      <c r="E37" s="70"/>
      <c r="F37" s="70"/>
      <c r="G37" s="70"/>
      <c r="H37" s="70"/>
      <c r="I37" s="70"/>
      <c r="J37" s="107">
        <v>46281.0</v>
      </c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75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95"/>
      <c r="BR37" s="95"/>
      <c r="BS37" s="95"/>
      <c r="BT37" s="95"/>
      <c r="BU37" s="95"/>
      <c r="BV37" s="95"/>
      <c r="BW37" s="95"/>
      <c r="BX37" s="99"/>
    </row>
    <row r="38" ht="15.75" customHeight="1">
      <c r="B38" s="108" t="s">
        <v>137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</row>
    <row r="39" ht="15.75" customHeight="1">
      <c r="B39" s="109" t="s">
        <v>137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</row>
    <row r="40" ht="15.75" customHeight="1">
      <c r="B40" s="109" t="s">
        <v>137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</row>
    <row r="41" ht="15.75" customHeight="1">
      <c r="B41" s="109" t="s">
        <v>137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</row>
    <row r="42" ht="15.75" customHeight="1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</row>
    <row r="43" ht="15.75" customHeight="1">
      <c r="B43" s="40" t="s">
        <v>139</v>
      </c>
      <c r="C43" s="8" t="s">
        <v>140</v>
      </c>
      <c r="D43" s="8" t="s">
        <v>141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</row>
    <row r="44" ht="15.75" customHeight="1">
      <c r="B44" s="40" t="s">
        <v>139</v>
      </c>
      <c r="C44" s="8" t="s">
        <v>142</v>
      </c>
      <c r="D44" s="8" t="s">
        <v>90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</row>
    <row r="45" ht="15.75" customHeight="1">
      <c r="B45" s="40"/>
      <c r="C45" s="8" t="s">
        <v>143</v>
      </c>
      <c r="D45" s="66" t="s">
        <v>144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</row>
    <row r="46" ht="15.75" customHeight="1">
      <c r="B46" s="40" t="s">
        <v>145</v>
      </c>
      <c r="C46" s="1"/>
      <c r="D46" s="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</row>
    <row r="47" ht="15.75" customHeight="1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ht="15.75" customHeight="1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</row>
    <row r="49" ht="15.75" customHeight="1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</row>
    <row r="50" ht="15.75" customHeight="1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</row>
    <row r="51" ht="15.75" customHeight="1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</row>
    <row r="52" ht="15.75" customHeight="1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</row>
    <row r="53" ht="15.75" customHeight="1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</row>
    <row r="54" ht="15.75" customHeight="1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</row>
    <row r="55" ht="15.75" customHeight="1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</row>
    <row r="56" ht="15.75" customHeight="1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</row>
    <row r="57" ht="15.75" customHeight="1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</row>
    <row r="58" ht="15.75" customHeight="1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</row>
    <row r="59" ht="15.75" customHeight="1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</row>
    <row r="60" ht="15.75" customHeight="1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</row>
    <row r="61" ht="15.75" customHeight="1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</row>
    <row r="62" ht="15.75" customHeight="1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</row>
    <row r="63" ht="15.75" customHeight="1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</row>
    <row r="64" ht="15.75" customHeight="1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</row>
    <row r="65" ht="15.75" customHeight="1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</row>
    <row r="66" ht="15.75" customHeight="1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</row>
    <row r="67" ht="15.75" customHeight="1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</row>
    <row r="68" ht="15.75" customHeight="1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</row>
    <row r="69" ht="15.75" customHeight="1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</row>
    <row r="70" ht="15.75" customHeight="1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</row>
    <row r="71" ht="15.75" customHeight="1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</row>
    <row r="72" ht="15.75" customHeight="1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</row>
    <row r="73" ht="15.75" customHeight="1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</row>
    <row r="74" ht="15.75" customHeight="1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</row>
    <row r="75" ht="15.75" customHeight="1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</row>
    <row r="76" ht="15.75" customHeight="1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</row>
    <row r="77" ht="15.75" customHeight="1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</row>
    <row r="78" ht="15.75" customHeight="1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</row>
    <row r="79" ht="15.75" customHeight="1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</row>
    <row r="80" ht="15.75" customHeight="1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</row>
    <row r="81" ht="15.75" customHeight="1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</row>
    <row r="82" ht="15.75" customHeight="1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</row>
    <row r="83" ht="15.75" customHeight="1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</row>
    <row r="84" ht="15.75" customHeight="1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</row>
    <row r="85" ht="15.75" customHeight="1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</row>
    <row r="86" ht="15.75" customHeight="1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 ht="15.75" customHeight="1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</row>
    <row r="88" ht="15.75" customHeight="1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</row>
    <row r="89" ht="15.75" customHeight="1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ht="15.75" customHeight="1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</row>
    <row r="91" ht="15.75" customHeight="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</row>
    <row r="92" ht="15.75" customHeight="1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</row>
    <row r="93" ht="15.75" customHeight="1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</row>
    <row r="94" ht="15.75" customHeight="1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</row>
    <row r="95" ht="15.75" customHeight="1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</row>
    <row r="96" ht="15.75" customHeight="1"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</row>
    <row r="97" ht="15.75" customHeight="1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</row>
    <row r="98" ht="15.75" customHeight="1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</row>
    <row r="99" ht="15.75" customHeight="1"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</row>
    <row r="100" ht="15.75" customHeight="1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</row>
    <row r="101" ht="15.75" customHeight="1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</row>
    <row r="102" ht="15.75" customHeight="1"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</row>
    <row r="103" ht="15.75" customHeight="1"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</row>
    <row r="104" ht="15.75" customHeight="1"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</row>
    <row r="105" ht="15.75" customHeight="1"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</row>
    <row r="106" ht="15.75" customHeight="1"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</row>
    <row r="107" ht="15.75" customHeight="1"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</row>
    <row r="108" ht="15.75" customHeight="1"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</row>
    <row r="109" ht="15.75" customHeight="1"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</row>
    <row r="110" ht="15.75" customHeight="1"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</row>
    <row r="111" ht="15.75" customHeight="1"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</row>
    <row r="112" ht="15.75" customHeight="1"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</row>
    <row r="113" ht="15.75" customHeight="1"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</row>
    <row r="114" ht="15.75" customHeight="1"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</row>
    <row r="115" ht="15.75" customHeight="1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</row>
    <row r="116" ht="15.75" customHeight="1"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</row>
    <row r="117" ht="15.75" customHeight="1"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</row>
    <row r="118" ht="15.75" customHeight="1"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</row>
    <row r="119" ht="15.75" customHeight="1"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</row>
    <row r="120" ht="15.75" customHeight="1"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</row>
    <row r="121" ht="15.75" customHeight="1"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</row>
    <row r="122" ht="15.75" customHeight="1"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</row>
    <row r="123" ht="15.75" customHeight="1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</row>
    <row r="124" ht="15.75" customHeight="1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</row>
    <row r="125" ht="15.75" customHeight="1"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</row>
    <row r="126" ht="15.75" customHeight="1"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</row>
    <row r="127" ht="15.75" customHeight="1"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</row>
    <row r="128" ht="15.75" customHeight="1"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ht="15.75" customHeight="1"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</row>
    <row r="130" ht="15.75" customHeight="1"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</row>
    <row r="131" ht="15.75" customHeight="1"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ht="15.75" customHeight="1"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</row>
    <row r="133" ht="15.75" customHeight="1"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</row>
    <row r="134" ht="15.75" customHeight="1"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</row>
    <row r="135" ht="15.75" customHeight="1"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</row>
    <row r="136" ht="15.75" customHeight="1"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</row>
    <row r="137" ht="15.75" customHeight="1"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</row>
    <row r="138" ht="15.75" customHeight="1"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</row>
    <row r="139" ht="15.75" customHeight="1"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</row>
    <row r="140" ht="15.75" customHeight="1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</row>
    <row r="141" ht="15.75" customHeight="1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</row>
    <row r="142" ht="15.75" customHeight="1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</row>
    <row r="143" ht="15.75" customHeight="1"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</row>
    <row r="144" ht="15.75" customHeight="1"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</row>
    <row r="145" ht="15.75" customHeight="1"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</row>
    <row r="146" ht="15.75" customHeight="1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</row>
    <row r="147" ht="15.75" customHeight="1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</row>
    <row r="148" ht="15.75" customHeight="1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</row>
    <row r="149" ht="15.75" customHeight="1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</row>
    <row r="150" ht="15.75" customHeight="1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</row>
    <row r="151" ht="15.75" customHeight="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</row>
    <row r="152" ht="15.75" customHeight="1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</row>
    <row r="153" ht="15.75" customHeight="1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</row>
    <row r="154" ht="15.75" customHeight="1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</row>
    <row r="155" ht="15.75" customHeight="1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</row>
    <row r="156" ht="15.75" customHeight="1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</row>
    <row r="157" ht="15.75" customHeight="1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</row>
    <row r="158" ht="15.7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</row>
    <row r="159" ht="15.7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</row>
    <row r="160" ht="15.7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</row>
    <row r="161" ht="15.7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</row>
    <row r="162" ht="15.7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</row>
    <row r="163" ht="15.7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</row>
    <row r="164" ht="15.7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</row>
    <row r="165" ht="15.7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</row>
    <row r="166" ht="15.7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</row>
    <row r="167" ht="15.7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</row>
    <row r="168" ht="15.7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</row>
    <row r="169" ht="15.7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</row>
    <row r="170" ht="15.7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ht="15.7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</row>
    <row r="172" ht="15.7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</row>
    <row r="173" ht="15.7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ht="15.7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</row>
    <row r="175" ht="15.7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</row>
    <row r="176" ht="15.7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</row>
    <row r="177" ht="15.7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</row>
    <row r="178" ht="15.7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</row>
    <row r="179" ht="15.7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</row>
    <row r="180" ht="15.7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</row>
    <row r="181" ht="15.7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</row>
    <row r="182" ht="15.7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</row>
    <row r="183" ht="15.7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</row>
    <row r="184" ht="15.7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</row>
    <row r="185" ht="15.7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</row>
    <row r="186" ht="15.7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</row>
    <row r="187" ht="15.7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</row>
    <row r="188" ht="15.7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</row>
    <row r="189" ht="15.7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</row>
    <row r="190" ht="15.7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</row>
    <row r="191" ht="15.7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</row>
    <row r="192" ht="15.7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</row>
    <row r="193" ht="15.7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</row>
    <row r="194" ht="15.7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</row>
    <row r="195" ht="15.7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</row>
    <row r="196" ht="15.7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</row>
    <row r="197" ht="15.7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</row>
    <row r="198" ht="15.7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</row>
    <row r="199" ht="15.7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</row>
    <row r="200" ht="15.7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</row>
    <row r="201" ht="15.7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</row>
    <row r="202" ht="15.7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</row>
    <row r="203" ht="15.7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</row>
    <row r="204" ht="15.7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</row>
    <row r="205" ht="15.7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</row>
    <row r="206" ht="15.7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</row>
    <row r="207" ht="15.7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</row>
    <row r="208" ht="15.7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</row>
    <row r="209" ht="15.7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</row>
    <row r="210" ht="15.7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</row>
    <row r="211" ht="15.7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</row>
    <row r="212" ht="15.7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</row>
    <row r="213" ht="15.7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</row>
    <row r="214" ht="15.7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</row>
    <row r="215" ht="15.7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</row>
    <row r="216" ht="15.7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</row>
    <row r="217" ht="15.7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</row>
    <row r="218" ht="15.7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</row>
    <row r="219" ht="15.7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</row>
    <row r="220" ht="15.7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</row>
    <row r="221" ht="15.7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</row>
    <row r="222" ht="15.7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</row>
    <row r="223" ht="15.7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</row>
    <row r="224" ht="15.7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</row>
    <row r="225" ht="15.7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</row>
    <row r="226" ht="15.7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</row>
    <row r="227" ht="15.7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</row>
    <row r="228" ht="15.7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</row>
    <row r="229" ht="15.7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</row>
    <row r="230" ht="15.7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</row>
    <row r="231" ht="15.7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</row>
    <row r="232" ht="15.7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</row>
    <row r="233" ht="15.7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</row>
    <row r="234" ht="15.7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</row>
    <row r="235" ht="15.7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</row>
    <row r="236" ht="15.7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</row>
    <row r="237" ht="15.7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</row>
    <row r="238" ht="15.7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</row>
    <row r="239" ht="15.7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</row>
    <row r="240" ht="15.7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</row>
    <row r="241" ht="15.7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</row>
    <row r="242" ht="15.7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</row>
    <row r="243" ht="15.7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</row>
    <row r="244" ht="15.7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</row>
    <row r="245" ht="15.7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</row>
    <row r="246" ht="15.7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</row>
    <row r="247" ht="15.7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</row>
    <row r="248" ht="15.7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</row>
    <row r="249" ht="15.7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</row>
    <row r="250" ht="15.7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</row>
    <row r="251" ht="15.7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</row>
    <row r="252" ht="15.7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</row>
    <row r="253" ht="15.7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</row>
    <row r="254" ht="15.7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</row>
    <row r="255" ht="15.7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</row>
    <row r="256" ht="15.7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</row>
    <row r="257" ht="15.7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</row>
    <row r="258" ht="15.7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</row>
    <row r="259" ht="15.7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</row>
    <row r="260" ht="15.7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</row>
    <row r="261" ht="15.7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</row>
    <row r="262" ht="15.7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</row>
    <row r="263" ht="15.7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</row>
    <row r="264" ht="15.7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</row>
    <row r="265" ht="15.7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</row>
    <row r="266" ht="15.7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</row>
    <row r="267" ht="15.7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</row>
    <row r="268" ht="15.7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</row>
    <row r="269" ht="15.7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</row>
    <row r="270" ht="15.7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</row>
    <row r="271" ht="15.7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</row>
    <row r="272" ht="15.7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</row>
    <row r="273" ht="15.7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</row>
    <row r="274" ht="15.7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</row>
    <row r="275" ht="15.7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</row>
    <row r="276" ht="15.7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</row>
    <row r="277" ht="15.7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</row>
    <row r="278" ht="15.7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</row>
    <row r="279" ht="15.7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</row>
    <row r="280" ht="15.7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</row>
    <row r="281" ht="15.7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</row>
    <row r="282" ht="15.7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</row>
    <row r="283" ht="15.7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</row>
    <row r="284" ht="15.7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</row>
    <row r="285" ht="15.7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</row>
    <row r="286" ht="15.7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</row>
    <row r="287" ht="15.7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</row>
    <row r="288" ht="15.7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</row>
    <row r="289" ht="15.7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</row>
    <row r="290" ht="15.7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</row>
    <row r="291" ht="15.7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</row>
    <row r="292" ht="15.7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</row>
    <row r="293" ht="15.7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</row>
    <row r="294" ht="15.7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</row>
    <row r="295" ht="15.7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</row>
    <row r="296" ht="15.7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</row>
    <row r="297" ht="15.7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</row>
    <row r="298" ht="15.7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</row>
    <row r="299" ht="15.7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</row>
    <row r="300" ht="15.7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</row>
    <row r="301" ht="15.7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</row>
    <row r="302" ht="15.7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</row>
    <row r="303" ht="15.7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</row>
    <row r="304" ht="15.7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</row>
    <row r="305" ht="15.7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</row>
    <row r="306" ht="15.7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</row>
    <row r="307" ht="15.7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</row>
    <row r="308" ht="15.7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</row>
    <row r="309" ht="15.7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</row>
    <row r="310" ht="15.7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</row>
    <row r="311" ht="15.7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</row>
    <row r="312" ht="15.7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</row>
    <row r="313" ht="15.7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</row>
    <row r="314" ht="15.7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</row>
    <row r="315" ht="15.7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</row>
    <row r="316" ht="15.7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</row>
    <row r="317" ht="15.7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</row>
    <row r="318" ht="15.7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</row>
    <row r="319" ht="15.7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</row>
    <row r="320" ht="15.7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</row>
    <row r="321" ht="15.7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</row>
    <row r="322" ht="15.7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</row>
    <row r="323" ht="15.7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</row>
    <row r="324" ht="15.7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</row>
    <row r="325" ht="15.7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</row>
    <row r="326" ht="15.7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</row>
    <row r="327" ht="15.7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</row>
    <row r="328" ht="15.7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</row>
    <row r="329" ht="15.7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</row>
    <row r="330" ht="15.7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</row>
    <row r="331" ht="15.7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</row>
    <row r="332" ht="15.7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</row>
    <row r="333" ht="15.7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</row>
    <row r="334" ht="15.7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</row>
    <row r="335" ht="15.7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</row>
    <row r="336" ht="15.7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</row>
    <row r="337" ht="15.7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</row>
    <row r="338" ht="15.7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</row>
    <row r="339" ht="15.7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</row>
    <row r="340" ht="15.7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</row>
    <row r="341" ht="15.7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</row>
    <row r="342" ht="15.7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</row>
    <row r="343" ht="15.7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</row>
    <row r="344" ht="15.7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</row>
    <row r="345" ht="15.7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</row>
    <row r="346" ht="15.7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</row>
    <row r="347" ht="15.7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</row>
    <row r="348" ht="15.7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</row>
    <row r="349" ht="15.7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</row>
    <row r="350" ht="15.7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</row>
    <row r="351" ht="15.7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</row>
    <row r="352" ht="15.7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</row>
    <row r="353" ht="15.7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</row>
    <row r="354" ht="15.7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</row>
    <row r="355" ht="15.7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</row>
    <row r="356" ht="15.7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</row>
    <row r="357" ht="15.7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</row>
    <row r="358" ht="15.7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</row>
    <row r="359" ht="15.7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</row>
    <row r="360" ht="15.7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</row>
    <row r="361" ht="15.7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</row>
    <row r="362" ht="15.7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</row>
    <row r="363" ht="15.7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</row>
    <row r="364" ht="15.7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</row>
    <row r="365" ht="15.7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</row>
    <row r="366" ht="15.7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</row>
    <row r="367" ht="15.7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</row>
    <row r="368" ht="15.7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</row>
    <row r="369" ht="15.7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</row>
    <row r="370" ht="15.7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</row>
    <row r="371" ht="15.7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</row>
    <row r="372" ht="15.7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</row>
    <row r="373" ht="15.7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</row>
    <row r="374" ht="15.7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</row>
    <row r="375" ht="15.7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</row>
    <row r="376" ht="15.7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</row>
    <row r="377" ht="15.7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</row>
    <row r="378" ht="15.7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</row>
    <row r="379" ht="15.7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</row>
    <row r="380" ht="15.7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</row>
    <row r="381" ht="15.7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</row>
    <row r="382" ht="15.7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</row>
    <row r="383" ht="15.7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</row>
    <row r="384" ht="15.7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</row>
    <row r="385" ht="15.7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</row>
    <row r="386" ht="15.7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</row>
    <row r="387" ht="15.7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</row>
    <row r="388" ht="15.7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</row>
    <row r="389" ht="15.7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</row>
    <row r="390" ht="15.7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</row>
    <row r="391" ht="15.7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</row>
    <row r="392" ht="15.7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</row>
    <row r="393" ht="15.7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</row>
    <row r="394" ht="15.7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</row>
    <row r="395" ht="15.7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</row>
    <row r="396" ht="15.7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</row>
    <row r="397" ht="15.7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</row>
    <row r="398" ht="15.7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</row>
    <row r="399" ht="15.7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</row>
    <row r="400" ht="15.7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</row>
    <row r="401" ht="15.7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</row>
    <row r="402" ht="15.7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</row>
    <row r="403" ht="15.7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</row>
    <row r="404" ht="15.7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</row>
    <row r="405" ht="15.7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</row>
    <row r="406" ht="15.7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</row>
    <row r="407" ht="15.7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</row>
    <row r="408" ht="15.7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</row>
    <row r="409" ht="15.7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</row>
    <row r="410" ht="15.7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</row>
    <row r="411" ht="15.7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</row>
    <row r="412" ht="15.7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</row>
    <row r="413" ht="15.7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</row>
    <row r="414" ht="15.7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</row>
    <row r="415" ht="15.7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</row>
    <row r="416" ht="15.7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</row>
    <row r="417" ht="15.7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</row>
    <row r="418" ht="15.7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</row>
    <row r="419" ht="15.7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</row>
    <row r="420" ht="15.7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</row>
    <row r="421" ht="15.7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</row>
    <row r="422" ht="15.7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</row>
    <row r="423" ht="15.7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</row>
    <row r="424" ht="15.7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</row>
    <row r="425" ht="15.7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</row>
    <row r="426" ht="15.7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</row>
    <row r="427" ht="15.7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</row>
    <row r="428" ht="15.7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</row>
    <row r="429" ht="15.7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</row>
    <row r="430" ht="15.7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</row>
    <row r="431" ht="15.7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</row>
    <row r="432" ht="15.7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</row>
    <row r="433" ht="15.7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</row>
    <row r="434" ht="15.7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</row>
    <row r="435" ht="15.7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</row>
    <row r="436" ht="15.7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</row>
    <row r="437" ht="15.7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</row>
    <row r="438" ht="15.7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</row>
    <row r="439" ht="15.7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</row>
    <row r="440" ht="15.7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</row>
    <row r="441" ht="15.7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</row>
    <row r="442" ht="15.7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</row>
    <row r="443" ht="15.7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</row>
    <row r="444" ht="15.7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</row>
    <row r="445" ht="15.7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</row>
    <row r="446" ht="15.7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</row>
    <row r="447" ht="15.7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</row>
    <row r="448" ht="15.7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</row>
    <row r="449" ht="15.7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</row>
    <row r="450" ht="15.7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</row>
    <row r="451" ht="15.7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</row>
    <row r="452" ht="15.7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</row>
    <row r="453" ht="15.7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</row>
    <row r="454" ht="15.7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</row>
    <row r="455" ht="15.7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</row>
    <row r="456" ht="15.7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</row>
    <row r="457" ht="15.7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</row>
    <row r="458" ht="15.7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</row>
    <row r="459" ht="15.7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</row>
    <row r="460" ht="15.7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</row>
    <row r="461" ht="15.7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</row>
    <row r="462" ht="15.7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</row>
    <row r="463" ht="15.7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</row>
    <row r="464" ht="15.7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</row>
    <row r="465" ht="15.7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</row>
    <row r="466" ht="15.7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</row>
    <row r="467" ht="15.7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</row>
    <row r="468" ht="15.7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</row>
    <row r="469" ht="15.75" customHeight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</row>
    <row r="470" ht="15.75" customHeight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</row>
    <row r="471" ht="15.75" customHeight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</row>
    <row r="472" ht="15.75" customHeight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</row>
    <row r="473" ht="15.75" customHeight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</row>
    <row r="474" ht="15.75" customHeight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</row>
    <row r="475" ht="15.75" customHeight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</row>
    <row r="476" ht="15.75" customHeight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</row>
    <row r="477" ht="15.75" customHeight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</row>
    <row r="478" ht="15.75" customHeight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</row>
    <row r="479" ht="15.75" customHeight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</row>
    <row r="480" ht="15.75" customHeight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</row>
    <row r="481" ht="15.75" customHeight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</row>
    <row r="482" ht="15.75" customHeight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</row>
    <row r="483" ht="15.75" customHeight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</row>
    <row r="484" ht="15.75" customHeight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</row>
    <row r="485" ht="15.75" customHeight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</row>
    <row r="486" ht="15.75" customHeight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</row>
    <row r="487" ht="15.75" customHeight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</row>
    <row r="488" ht="15.75" customHeight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</row>
    <row r="489" ht="15.75" customHeight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</row>
    <row r="490" ht="15.75" customHeight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</row>
    <row r="491" ht="15.75" customHeight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</row>
    <row r="492" ht="15.75" customHeight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</row>
    <row r="493" ht="15.75" customHeight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</row>
    <row r="494" ht="15.75" customHeight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</row>
    <row r="495" ht="15.75" customHeight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</row>
    <row r="496" ht="15.75" customHeight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</row>
    <row r="497" ht="15.75" customHeight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</row>
    <row r="498" ht="15.75" customHeight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</row>
    <row r="499" ht="15.75" customHeight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</row>
    <row r="500" ht="15.75" customHeight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</row>
    <row r="501" ht="15.75" customHeight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</row>
    <row r="502" ht="15.75" customHeight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</row>
    <row r="503" ht="15.75" customHeight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</row>
    <row r="504" ht="15.75" customHeight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</row>
    <row r="505" ht="15.75" customHeight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</row>
    <row r="506" ht="15.75" customHeight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</row>
    <row r="507" ht="15.75" customHeight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</row>
    <row r="508" ht="15.75" customHeight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</row>
    <row r="509" ht="15.75" customHeight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</row>
    <row r="510" ht="15.75" customHeight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</row>
    <row r="511" ht="15.75" customHeight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</row>
    <row r="512" ht="15.75" customHeight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</row>
    <row r="513" ht="15.75" customHeight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</row>
    <row r="514" ht="15.75" customHeight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</row>
    <row r="515" ht="15.75" customHeight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</row>
    <row r="516" ht="15.75" customHeight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</row>
    <row r="517" ht="15.75" customHeight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</row>
    <row r="518" ht="15.75" customHeight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</row>
    <row r="519" ht="15.75" customHeight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</row>
    <row r="520" ht="15.75" customHeight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</row>
    <row r="521" ht="15.75" customHeight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</row>
    <row r="522" ht="15.75" customHeight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</row>
    <row r="523" ht="15.75" customHeight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</row>
    <row r="524" ht="15.75" customHeight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</row>
    <row r="525" ht="15.75" customHeight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</row>
    <row r="526" ht="15.75" customHeight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</row>
    <row r="527" ht="15.75" customHeight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</row>
    <row r="528" ht="15.75" customHeight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</row>
    <row r="529" ht="15.75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</row>
    <row r="530" ht="15.75" customHeight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</row>
    <row r="531" ht="15.75" customHeight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</row>
    <row r="532" ht="15.75" customHeight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</row>
    <row r="533" ht="15.75" customHeight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</row>
    <row r="534" ht="15.75" customHeight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</row>
    <row r="535" ht="15.75" customHeight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</row>
    <row r="536" ht="15.75" customHeight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</row>
    <row r="537" ht="15.75" customHeight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</row>
    <row r="538" ht="15.75" customHeight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</row>
    <row r="539" ht="15.75" customHeight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</row>
    <row r="540" ht="15.75" customHeight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</row>
    <row r="541" ht="15.75" customHeight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</row>
    <row r="542" ht="15.75" customHeight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</row>
    <row r="543" ht="15.75" customHeight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</row>
    <row r="544" ht="15.75" customHeight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</row>
    <row r="545" ht="15.75" customHeight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</row>
    <row r="546" ht="15.75" customHeight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</row>
    <row r="547" ht="15.75" customHeight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</row>
    <row r="548" ht="15.75" customHeight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</row>
    <row r="549" ht="15.75" customHeight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</row>
    <row r="550" ht="15.75" customHeight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</row>
    <row r="551" ht="15.75" customHeight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</row>
    <row r="552" ht="15.75" customHeight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</row>
    <row r="553" ht="15.75" customHeight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</row>
    <row r="554" ht="15.75" customHeight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</row>
    <row r="555" ht="15.75" customHeight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</row>
    <row r="556" ht="15.75" customHeight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</row>
    <row r="557" ht="15.75" customHeight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</row>
    <row r="558" ht="15.75" customHeight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</row>
    <row r="559" ht="15.75" customHeight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</row>
    <row r="560" ht="15.75" customHeight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</row>
    <row r="561" ht="15.75" customHeight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</row>
    <row r="562" ht="15.75" customHeight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</row>
    <row r="563" ht="15.75" customHeight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</row>
    <row r="564" ht="15.75" customHeight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</row>
    <row r="565" ht="15.75" customHeight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</row>
    <row r="566" ht="15.75" customHeight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</row>
    <row r="567" ht="15.75" customHeight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</row>
    <row r="568" ht="15.75" customHeight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</row>
    <row r="569" ht="15.75" customHeight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</row>
    <row r="570" ht="15.75" customHeight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</row>
    <row r="571" ht="15.75" customHeight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</row>
    <row r="572" ht="15.75" customHeight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</row>
    <row r="573" ht="15.75" customHeight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</row>
    <row r="574" ht="15.75" customHeight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</row>
    <row r="575" ht="15.75" customHeight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</row>
    <row r="576" ht="15.75" customHeight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</row>
    <row r="577" ht="15.75" customHeight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</row>
    <row r="578" ht="15.75" customHeight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</row>
    <row r="579" ht="15.75" customHeight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</row>
    <row r="580" ht="15.75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</row>
    <row r="581" ht="15.75" customHeight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</row>
    <row r="582" ht="15.75" customHeight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</row>
    <row r="583" ht="15.75" customHeight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</row>
    <row r="584" ht="15.75" customHeight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</row>
    <row r="585" ht="15.75" customHeight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</row>
    <row r="586" ht="15.75" customHeight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</row>
    <row r="587" ht="15.75" customHeight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</row>
    <row r="588" ht="15.75" customHeight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</row>
    <row r="589" ht="15.75" customHeight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</row>
    <row r="590" ht="15.75" customHeight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</row>
    <row r="591" ht="15.75" customHeight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</row>
    <row r="592" ht="15.75" customHeight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</row>
    <row r="593" ht="15.75" customHeight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</row>
    <row r="594" ht="15.75" customHeight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</row>
    <row r="595" ht="15.75" customHeight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</row>
    <row r="596" ht="15.75" customHeight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</row>
    <row r="597" ht="15.75" customHeight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</row>
    <row r="598" ht="15.75" customHeight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</row>
    <row r="599" ht="15.75" customHeight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</row>
    <row r="600" ht="15.75" customHeight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</row>
    <row r="601" ht="15.75" customHeight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</row>
    <row r="602" ht="15.75" customHeight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</row>
    <row r="603" ht="15.75" customHeight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</row>
    <row r="604" ht="15.75" customHeight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</row>
    <row r="605" ht="15.75" customHeight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</row>
    <row r="606" ht="15.75" customHeight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</row>
    <row r="607" ht="15.75" customHeight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</row>
    <row r="608" ht="15.75" customHeight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</row>
    <row r="609" ht="15.75" customHeight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</row>
    <row r="610" ht="15.75" customHeight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</row>
    <row r="611" ht="15.75" customHeight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</row>
    <row r="612" ht="15.75" customHeight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</row>
    <row r="613" ht="15.75" customHeight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</row>
    <row r="614" ht="15.75" customHeight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</row>
    <row r="615" ht="15.75" customHeight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</row>
    <row r="616" ht="15.75" customHeight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</row>
    <row r="617" ht="15.75" customHeight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</row>
    <row r="618" ht="15.75" customHeight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</row>
    <row r="619" ht="15.75" customHeight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</row>
    <row r="620" ht="15.75" customHeight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</row>
    <row r="621" ht="15.75" customHeight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</row>
    <row r="622" ht="15.75" customHeight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</row>
    <row r="623" ht="15.75" customHeight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</row>
    <row r="624" ht="15.75" customHeight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</row>
    <row r="625" ht="15.75" customHeight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</row>
    <row r="626" ht="15.75" customHeight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</row>
    <row r="627" ht="15.75" customHeight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</row>
    <row r="628" ht="15.75" customHeight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</row>
    <row r="629" ht="15.75" customHeight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</row>
    <row r="630" ht="15.75" customHeight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</row>
    <row r="631" ht="15.75" customHeight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</row>
    <row r="632" ht="15.75" customHeight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</row>
    <row r="633" ht="15.75" customHeight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</row>
    <row r="634" ht="15.75" customHeight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</row>
    <row r="635" ht="15.75" customHeight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</row>
    <row r="636" ht="15.7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</row>
    <row r="637" ht="15.75" customHeight="1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</row>
    <row r="638" ht="15.75" customHeight="1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</row>
    <row r="639" ht="15.75" customHeight="1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</row>
    <row r="640" ht="15.75" customHeight="1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</row>
    <row r="641" ht="15.75" customHeight="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</row>
    <row r="642" ht="15.75" customHeight="1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</row>
    <row r="643" ht="15.75" customHeight="1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</row>
    <row r="644" ht="15.75" customHeight="1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</row>
    <row r="645" ht="15.75" customHeight="1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</row>
    <row r="646" ht="15.75" customHeight="1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</row>
    <row r="647" ht="15.75" customHeight="1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</row>
    <row r="648" ht="15.75" customHeight="1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</row>
    <row r="649" ht="15.75" customHeight="1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</row>
    <row r="650" ht="15.75" customHeight="1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</row>
    <row r="651" ht="15.75" customHeight="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</row>
    <row r="652" ht="15.75" customHeight="1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</row>
    <row r="653" ht="15.75" customHeight="1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</row>
    <row r="654" ht="15.75" customHeight="1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</row>
    <row r="655" ht="15.75" customHeight="1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</row>
    <row r="656" ht="15.75" customHeight="1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</row>
    <row r="657" ht="15.75" customHeight="1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</row>
    <row r="658" ht="15.75" customHeight="1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</row>
    <row r="659" ht="15.75" customHeight="1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</row>
    <row r="660" ht="15.75" customHeight="1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</row>
    <row r="661" ht="15.75" customHeight="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</row>
    <row r="662" ht="15.75" customHeight="1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</row>
    <row r="663" ht="15.75" customHeight="1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</row>
    <row r="664" ht="15.75" customHeight="1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</row>
    <row r="665" ht="15.75" customHeight="1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</row>
    <row r="666" ht="15.75" customHeight="1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</row>
    <row r="667" ht="15.75" customHeight="1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</row>
    <row r="668" ht="15.75" customHeight="1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</row>
    <row r="669" ht="15.75" customHeight="1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</row>
    <row r="670" ht="15.75" customHeight="1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</row>
    <row r="671" ht="15.75" customHeight="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</row>
    <row r="672" ht="15.75" customHeight="1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</row>
    <row r="673" ht="15.75" customHeight="1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</row>
    <row r="674" ht="15.75" customHeight="1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</row>
    <row r="675" ht="15.75" customHeight="1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</row>
    <row r="676" ht="15.75" customHeight="1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</row>
    <row r="677" ht="15.75" customHeight="1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</row>
    <row r="678" ht="15.75" customHeight="1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</row>
    <row r="679" ht="15.75" customHeight="1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</row>
    <row r="680" ht="15.75" customHeight="1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</row>
    <row r="681" ht="15.75" customHeight="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</row>
    <row r="682" ht="15.75" customHeight="1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</row>
    <row r="683" ht="15.75" customHeight="1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</row>
    <row r="684" ht="15.75" customHeight="1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</row>
    <row r="685" ht="15.75" customHeight="1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</row>
    <row r="686" ht="15.75" customHeight="1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</row>
    <row r="687" ht="15.75" customHeight="1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</row>
    <row r="688" ht="15.75" customHeight="1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</row>
    <row r="689" ht="15.75" customHeight="1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</row>
    <row r="690" ht="15.75" customHeight="1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</row>
    <row r="691" ht="15.75" customHeight="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</row>
    <row r="692" ht="15.75" customHeight="1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</row>
    <row r="693" ht="15.75" customHeight="1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</row>
    <row r="694" ht="15.75" customHeight="1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</row>
    <row r="695" ht="15.75" customHeight="1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</row>
    <row r="696" ht="15.75" customHeight="1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</row>
    <row r="697" ht="15.75" customHeight="1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</row>
    <row r="698" ht="15.75" customHeight="1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</row>
    <row r="699" ht="15.75" customHeight="1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</row>
    <row r="700" ht="15.75" customHeight="1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</row>
    <row r="701" ht="15.75" customHeight="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</row>
    <row r="702" ht="15.75" customHeight="1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</row>
    <row r="703" ht="15.75" customHeight="1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</row>
    <row r="704" ht="15.75" customHeight="1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</row>
    <row r="705" ht="15.75" customHeight="1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</row>
    <row r="706" ht="15.75" customHeight="1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</row>
    <row r="707" ht="15.75" customHeight="1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</row>
    <row r="708" ht="15.75" customHeight="1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</row>
    <row r="709" ht="15.75" customHeight="1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</row>
    <row r="710" ht="15.75" customHeight="1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</row>
    <row r="711" ht="15.75" customHeight="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</row>
    <row r="712" ht="15.75" customHeight="1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</row>
    <row r="713" ht="15.75" customHeight="1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</row>
    <row r="714" ht="15.75" customHeight="1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</row>
    <row r="715" ht="15.75" customHeight="1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</row>
    <row r="716" ht="15.75" customHeight="1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</row>
    <row r="717" ht="15.75" customHeight="1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</row>
    <row r="718" ht="15.75" customHeight="1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</row>
    <row r="719" ht="15.75" customHeight="1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</row>
    <row r="720" ht="15.75" customHeight="1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</row>
    <row r="721" ht="15.75" customHeight="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</row>
    <row r="722" ht="15.75" customHeight="1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</row>
    <row r="723" ht="15.75" customHeight="1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</row>
    <row r="724" ht="15.75" customHeight="1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</row>
    <row r="725" ht="15.75" customHeight="1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</row>
    <row r="726" ht="15.75" customHeight="1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</row>
    <row r="727" ht="15.75" customHeight="1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</row>
    <row r="728" ht="15.75" customHeight="1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</row>
    <row r="729" ht="15.75" customHeight="1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</row>
    <row r="730" ht="15.75" customHeight="1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</row>
    <row r="731" ht="15.75" customHeight="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</row>
    <row r="732" ht="15.75" customHeight="1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</row>
    <row r="733" ht="15.75" customHeight="1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</row>
    <row r="734" ht="15.75" customHeight="1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</row>
    <row r="735" ht="15.75" customHeight="1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</row>
    <row r="736" ht="15.75" customHeight="1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</row>
    <row r="737" ht="15.75" customHeight="1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</row>
    <row r="738" ht="15.75" customHeight="1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</row>
    <row r="739" ht="15.75" customHeight="1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</row>
    <row r="740" ht="15.75" customHeight="1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</row>
    <row r="741" ht="15.75" customHeight="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</row>
    <row r="742" ht="15.75" customHeight="1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</row>
    <row r="743" ht="15.75" customHeight="1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</row>
    <row r="744" ht="15.75" customHeight="1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</row>
    <row r="745" ht="15.75" customHeight="1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</row>
    <row r="746" ht="15.75" customHeight="1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</row>
    <row r="747" ht="15.75" customHeight="1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</row>
    <row r="748" ht="15.75" customHeight="1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</row>
    <row r="749" ht="15.75" customHeight="1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</row>
    <row r="750" ht="15.75" customHeight="1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</row>
    <row r="751" ht="15.75" customHeight="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</row>
    <row r="752" ht="15.75" customHeight="1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</row>
    <row r="753" ht="15.75" customHeight="1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</row>
    <row r="754" ht="15.75" customHeight="1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</row>
    <row r="755" ht="15.75" customHeight="1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</row>
    <row r="756" ht="15.75" customHeight="1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</row>
    <row r="757" ht="15.75" customHeight="1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</row>
    <row r="758" ht="15.75" customHeight="1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</row>
    <row r="759" ht="15.75" customHeight="1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</row>
    <row r="760" ht="15.75" customHeight="1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</row>
    <row r="761" ht="15.75" customHeight="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</row>
    <row r="762" ht="15.75" customHeight="1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</row>
    <row r="763" ht="15.75" customHeight="1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</row>
    <row r="764" ht="15.75" customHeight="1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</row>
    <row r="765" ht="15.75" customHeight="1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</row>
    <row r="766" ht="15.75" customHeight="1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</row>
    <row r="767" ht="15.75" customHeight="1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</row>
    <row r="768" ht="15.75" customHeight="1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</row>
    <row r="769" ht="15.75" customHeight="1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</row>
    <row r="770" ht="15.75" customHeight="1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</row>
    <row r="771" ht="15.75" customHeight="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</row>
    <row r="772" ht="15.75" customHeight="1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</row>
    <row r="773" ht="15.75" customHeight="1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</row>
    <row r="774" ht="15.75" customHeight="1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</row>
    <row r="775" ht="15.75" customHeight="1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</row>
    <row r="776" ht="15.75" customHeight="1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</row>
    <row r="777" ht="15.75" customHeight="1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</row>
    <row r="778" ht="15.75" customHeight="1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</row>
    <row r="779" ht="15.75" customHeight="1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</row>
    <row r="780" ht="15.75" customHeight="1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</row>
    <row r="781" ht="15.75" customHeight="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</row>
    <row r="782" ht="15.75" customHeight="1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</row>
    <row r="783" ht="15.75" customHeight="1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</row>
    <row r="784" ht="15.75" customHeight="1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</row>
    <row r="785" ht="15.75" customHeight="1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</row>
    <row r="786" ht="15.75" customHeight="1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</row>
    <row r="787" ht="15.75" customHeight="1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</row>
    <row r="788" ht="15.75" customHeight="1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</row>
    <row r="789" ht="15.75" customHeight="1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</row>
    <row r="790" ht="15.75" customHeight="1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</row>
    <row r="791" ht="15.75" customHeight="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</row>
    <row r="792" ht="15.75" customHeight="1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</row>
    <row r="793" ht="15.75" customHeight="1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</row>
    <row r="794" ht="15.75" customHeight="1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</row>
    <row r="795" ht="15.75" customHeight="1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</row>
    <row r="796" ht="15.75" customHeight="1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</row>
    <row r="797" ht="15.75" customHeight="1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</row>
    <row r="798" ht="15.75" customHeight="1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</row>
    <row r="799" ht="15.75" customHeight="1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</row>
    <row r="800" ht="15.75" customHeight="1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</row>
    <row r="801" ht="15.75" customHeight="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</row>
    <row r="802" ht="15.75" customHeight="1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</row>
    <row r="803" ht="15.75" customHeight="1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</row>
    <row r="804" ht="15.75" customHeight="1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</row>
    <row r="805" ht="15.75" customHeight="1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</row>
    <row r="806" ht="15.75" customHeight="1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</row>
    <row r="807" ht="15.75" customHeight="1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</row>
    <row r="808" ht="15.75" customHeight="1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</row>
    <row r="809" ht="15.75" customHeight="1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</row>
    <row r="810" ht="15.75" customHeight="1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</row>
    <row r="811" ht="15.75" customHeight="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</row>
    <row r="812" ht="15.75" customHeight="1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</row>
    <row r="813" ht="15.75" customHeight="1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</row>
    <row r="814" ht="15.75" customHeight="1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</row>
    <row r="815" ht="15.75" customHeight="1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</row>
    <row r="816" ht="15.75" customHeight="1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</row>
    <row r="817" ht="15.75" customHeight="1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</row>
    <row r="818" ht="15.75" customHeight="1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</row>
    <row r="819" ht="15.75" customHeight="1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</row>
    <row r="820" ht="15.75" customHeight="1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</row>
    <row r="821" ht="15.75" customHeight="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</row>
    <row r="822" ht="15.75" customHeight="1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</row>
    <row r="823" ht="15.75" customHeight="1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</row>
    <row r="824" ht="15.75" customHeight="1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</row>
    <row r="825" ht="15.75" customHeight="1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</row>
    <row r="826" ht="15.75" customHeight="1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</row>
    <row r="827" ht="15.75" customHeight="1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</row>
    <row r="828" ht="15.75" customHeight="1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</row>
    <row r="829" ht="15.75" customHeight="1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</row>
    <row r="830" ht="15.75" customHeight="1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</row>
    <row r="831" ht="15.75" customHeight="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</row>
    <row r="832" ht="15.75" customHeight="1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</row>
    <row r="833" ht="15.75" customHeight="1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</row>
    <row r="834" ht="15.75" customHeight="1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</row>
    <row r="835" ht="15.75" customHeight="1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</row>
    <row r="836" ht="15.75" customHeight="1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</row>
    <row r="837" ht="15.75" customHeight="1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</row>
    <row r="838" ht="15.75" customHeight="1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</row>
    <row r="839" ht="15.75" customHeight="1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</row>
    <row r="840" ht="15.75" customHeight="1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</row>
    <row r="841" ht="15.75" customHeight="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</row>
    <row r="842" ht="15.75" customHeight="1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</row>
    <row r="843" ht="15.75" customHeight="1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</row>
    <row r="844" ht="15.75" customHeight="1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</row>
    <row r="845" ht="15.75" customHeight="1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</row>
    <row r="846" ht="15.75" customHeight="1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</row>
    <row r="847" ht="15.75" customHeight="1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</row>
    <row r="848" ht="15.75" customHeight="1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</row>
    <row r="849" ht="15.75" customHeight="1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</row>
    <row r="850" ht="15.75" customHeight="1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</row>
    <row r="851" ht="15.75" customHeight="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</row>
    <row r="852" ht="15.75" customHeight="1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</row>
    <row r="853" ht="15.75" customHeight="1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</row>
    <row r="854" ht="15.75" customHeight="1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</row>
    <row r="855" ht="15.75" customHeight="1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</row>
    <row r="856" ht="15.75" customHeight="1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</row>
    <row r="857" ht="15.75" customHeight="1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</row>
    <row r="858" ht="15.75" customHeight="1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</row>
    <row r="859" ht="15.75" customHeight="1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</row>
    <row r="860" ht="15.75" customHeight="1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</row>
    <row r="861" ht="15.75" customHeight="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</row>
    <row r="862" ht="15.75" customHeight="1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</row>
    <row r="863" ht="15.75" customHeight="1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</row>
    <row r="864" ht="15.75" customHeight="1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</row>
    <row r="865" ht="15.75" customHeight="1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</row>
    <row r="866" ht="15.75" customHeight="1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</row>
    <row r="867" ht="15.75" customHeight="1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</row>
    <row r="868" ht="15.75" customHeight="1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</row>
    <row r="869" ht="15.75" customHeight="1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</row>
    <row r="870" ht="15.75" customHeight="1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</row>
    <row r="871" ht="15.75" customHeight="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</row>
    <row r="872" ht="15.75" customHeight="1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</row>
    <row r="873" ht="15.75" customHeight="1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</row>
    <row r="874" ht="15.75" customHeight="1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</row>
    <row r="875" ht="15.75" customHeight="1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</row>
    <row r="876" ht="15.75" customHeight="1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</row>
    <row r="877" ht="15.75" customHeight="1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</row>
    <row r="878" ht="15.75" customHeight="1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</row>
    <row r="879" ht="15.75" customHeight="1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</row>
    <row r="880" ht="15.75" customHeight="1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</row>
    <row r="881" ht="15.75" customHeight="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</row>
    <row r="882" ht="15.75" customHeight="1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</row>
    <row r="883" ht="15.75" customHeight="1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</row>
    <row r="884" ht="15.75" customHeight="1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</row>
    <row r="885" ht="15.75" customHeight="1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</row>
    <row r="886" ht="15.75" customHeight="1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</row>
    <row r="887" ht="15.75" customHeight="1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</row>
    <row r="888" ht="15.75" customHeight="1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</row>
    <row r="889" ht="15.75" customHeight="1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</row>
    <row r="890" ht="15.75" customHeight="1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</row>
    <row r="891" ht="15.75" customHeight="1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</row>
    <row r="892" ht="15.75" customHeight="1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</row>
    <row r="893" ht="15.75" customHeight="1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</row>
    <row r="894" ht="15.75" customHeight="1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</row>
    <row r="895" ht="15.75" customHeight="1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</row>
    <row r="896" ht="15.75" customHeight="1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</row>
    <row r="897" ht="15.75" customHeight="1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</row>
    <row r="898" ht="15.75" customHeight="1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</row>
    <row r="899" ht="15.75" customHeight="1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</row>
    <row r="900" ht="15.75" customHeight="1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</row>
    <row r="901" ht="15.75" customHeight="1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</row>
    <row r="902" ht="15.75" customHeight="1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</row>
    <row r="903" ht="15.75" customHeight="1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</row>
    <row r="904" ht="15.75" customHeight="1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</row>
    <row r="905" ht="15.75" customHeight="1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</row>
    <row r="906" ht="15.75" customHeight="1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</row>
    <row r="907" ht="15.75" customHeight="1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</row>
    <row r="908" ht="15.75" customHeight="1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</row>
    <row r="909" ht="15.75" customHeight="1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</row>
    <row r="910" ht="15.75" customHeight="1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</row>
    <row r="911" ht="15.75" customHeight="1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</row>
    <row r="912" ht="15.75" customHeight="1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</row>
    <row r="913" ht="15.75" customHeight="1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</row>
    <row r="914" ht="15.75" customHeight="1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</row>
    <row r="915" ht="15.75" customHeight="1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</row>
    <row r="916" ht="15.75" customHeight="1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</row>
    <row r="917" ht="15.75" customHeight="1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</row>
    <row r="918" ht="15.75" customHeight="1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</row>
    <row r="919" ht="15.75" customHeight="1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</row>
    <row r="920" ht="15.75" customHeight="1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</row>
    <row r="921" ht="15.75" customHeight="1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</row>
    <row r="922" ht="15.75" customHeight="1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</row>
    <row r="923" ht="15.75" customHeight="1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</row>
    <row r="924" ht="15.75" customHeight="1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</row>
    <row r="925" ht="15.75" customHeight="1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</row>
    <row r="926" ht="15.75" customHeight="1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</row>
    <row r="927" ht="15.75" customHeight="1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</row>
    <row r="928" ht="15.75" customHeight="1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</row>
    <row r="929" ht="15.75" customHeight="1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</row>
    <row r="930" ht="15.75" customHeight="1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</row>
    <row r="931" ht="15.75" customHeight="1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</row>
    <row r="932" ht="15.75" customHeight="1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</row>
    <row r="933" ht="15.75" customHeight="1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</row>
    <row r="934" ht="15.75" customHeight="1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</row>
    <row r="935" ht="15.75" customHeight="1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</row>
    <row r="936" ht="15.75" customHeight="1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</row>
    <row r="937" ht="15.75" customHeight="1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</row>
    <row r="938" ht="15.75" customHeight="1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</row>
    <row r="939" ht="15.75" customHeight="1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</row>
    <row r="940" ht="15.75" customHeight="1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</row>
    <row r="941" ht="15.75" customHeight="1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</row>
    <row r="942" ht="15.75" customHeight="1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</row>
    <row r="943" ht="15.75" customHeight="1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</row>
    <row r="944" ht="15.75" customHeight="1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</row>
    <row r="945" ht="15.75" customHeight="1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</row>
    <row r="946" ht="15.75" customHeight="1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</row>
    <row r="947" ht="15.75" customHeight="1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</row>
    <row r="948" ht="15.75" customHeight="1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</row>
    <row r="949" ht="15.75" customHeight="1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</row>
    <row r="950" ht="15.75" customHeight="1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</row>
    <row r="951" ht="15.75" customHeight="1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</row>
    <row r="952" ht="15.75" customHeight="1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</row>
    <row r="953" ht="15.75" customHeight="1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</row>
    <row r="954" ht="15.75" customHeight="1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</row>
    <row r="955" ht="15.75" customHeight="1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</row>
    <row r="956" ht="15.75" customHeight="1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</row>
    <row r="957" ht="15.75" customHeight="1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</row>
    <row r="958" ht="15.75" customHeight="1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</row>
    <row r="959" ht="15.75" customHeight="1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</row>
    <row r="960" ht="15.75" customHeight="1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</row>
    <row r="961" ht="15.75" customHeight="1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</row>
    <row r="962" ht="15.75" customHeight="1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</row>
    <row r="963" ht="15.75" customHeight="1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</row>
    <row r="964" ht="15.75" customHeight="1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</row>
    <row r="965" ht="15.75" customHeight="1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</row>
    <row r="966" ht="15.75" customHeight="1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</row>
    <row r="967" ht="15.75" customHeight="1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</row>
    <row r="968" ht="15.75" customHeight="1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</row>
    <row r="969" ht="15.75" customHeight="1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</row>
    <row r="970" ht="15.75" customHeight="1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</row>
    <row r="971" ht="15.75" customHeight="1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</row>
    <row r="972" ht="15.75" customHeight="1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</row>
    <row r="973" ht="15.75" customHeight="1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</row>
    <row r="974" ht="15.75" customHeight="1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</row>
    <row r="975" ht="15.75" customHeight="1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</row>
    <row r="976" ht="15.75" customHeight="1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</row>
    <row r="977" ht="15.75" customHeight="1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</row>
    <row r="978" ht="15.75" customHeight="1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</row>
    <row r="979" ht="15.75" customHeight="1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</row>
    <row r="980" ht="15.75" customHeight="1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</row>
    <row r="981" ht="15.75" customHeight="1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</row>
    <row r="982" ht="15.75" customHeight="1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</row>
    <row r="983" ht="15.75" customHeight="1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</row>
    <row r="984" ht="15.75" customHeight="1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</row>
    <row r="985" ht="15.75" customHeight="1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</row>
    <row r="986" ht="15.75" customHeight="1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</row>
    <row r="987" ht="15.75" customHeight="1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</row>
    <row r="988" ht="15.75" customHeight="1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</row>
    <row r="989" ht="15.75" customHeight="1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</row>
    <row r="990" ht="15.75" customHeight="1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</row>
    <row r="991" ht="15.75" customHeight="1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</row>
    <row r="992" ht="15.75" customHeight="1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</row>
    <row r="993" ht="15.75" customHeight="1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</row>
    <row r="994" ht="15.75" customHeight="1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</row>
    <row r="995" ht="15.75" customHeight="1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</row>
    <row r="996" ht="15.75" customHeight="1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</row>
    <row r="997" ht="15.75" customHeight="1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</row>
    <row r="998" ht="15.75" customHeight="1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</row>
    <row r="999" ht="15.75" customHeight="1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</row>
    <row r="1000" ht="15.75" customHeight="1"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</row>
    <row r="1001" ht="15.75" customHeight="1"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</row>
    <row r="1002" ht="15.75" customHeight="1"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</row>
    <row r="1003" ht="15.75" customHeight="1"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</row>
    <row r="1004" ht="15.75" customHeight="1"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</row>
    <row r="1005" ht="15.75" customHeight="1"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</row>
    <row r="1006" ht="15.75" customHeight="1"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</row>
  </sheetData>
  <autoFilter ref="$A$5:$BY$21"/>
  <mergeCells count="8">
    <mergeCell ref="K1:AJ1"/>
    <mergeCell ref="U2:V2"/>
    <mergeCell ref="U5:V5"/>
    <mergeCell ref="AK5:AL5"/>
    <mergeCell ref="AM5:AN5"/>
    <mergeCell ref="AQ5:AR5"/>
    <mergeCell ref="BA5:BB5"/>
    <mergeCell ref="BN5:BO5"/>
  </mergeCells>
  <conditionalFormatting sqref="V7:V8">
    <cfRule type="expression" dxfId="0" priority="1">
      <formula>TODAY( )&gt;$U$8+7</formula>
    </cfRule>
  </conditionalFormatting>
  <conditionalFormatting sqref="V7:V8">
    <cfRule type="expression" dxfId="1" priority="2">
      <formula>TODAY()&gt;$U$8+7</formula>
    </cfRule>
  </conditionalFormatting>
  <conditionalFormatting sqref="V7:V8">
    <cfRule type="expression" dxfId="0" priority="3">
      <formula>$V$8&gt;$U$8+7</formula>
    </cfRule>
  </conditionalFormatting>
  <printOptions/>
  <pageMargins bottom="0.787401575" footer="0.0" header="0.0" left="0.7" right="0.7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2026-09-02T19:54:04Z</dcterms:created>
  <dc:creator>Tomáš Antolík</dc:creator>
</cp:coreProperties>
</file>